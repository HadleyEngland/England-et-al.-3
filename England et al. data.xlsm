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hadley/Desktop/"/>
    </mc:Choice>
  </mc:AlternateContent>
  <xr:revisionPtr revIDLastSave="0" documentId="13_ncr:1_{EAFA027E-CD03-A941-83FB-B345F5FC8841}" xr6:coauthVersionLast="47" xr6:coauthVersionMax="47" xr10:uidLastSave="{00000000-0000-0000-0000-000000000000}"/>
  <bookViews>
    <workbookView xWindow="0" yWindow="760" windowWidth="30240" windowHeight="17300" activeTab="6" xr2:uid="{01683359-3C75-0841-B87F-937903F571CC}"/>
  </bookViews>
  <sheets>
    <sheet name="cell counts" sheetId="1" r:id="rId1"/>
    <sheet name="P and R " sheetId="2" r:id="rId2"/>
    <sheet name="Fv Fm" sheetId="3" r:id="rId3"/>
    <sheet name="Sheet1" sheetId="13" r:id="rId4"/>
    <sheet name="Fv Fm over time" sheetId="7" r:id="rId5"/>
    <sheet name="ICP" sheetId="10" r:id="rId6"/>
    <sheet name="Water Quality" sheetId="11" r:id="rId7"/>
  </sheets>
  <externalReferences>
    <externalReference r:id="rId8"/>
  </externalReferences>
  <definedNames>
    <definedName name="NA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1" i="11" l="1"/>
  <c r="C109" i="11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P109" i="11"/>
  <c r="Q109" i="11"/>
  <c r="R109" i="11"/>
  <c r="S109" i="11"/>
  <c r="T109" i="11"/>
  <c r="U109" i="11"/>
  <c r="V109" i="11"/>
  <c r="W109" i="11"/>
  <c r="X109" i="11"/>
  <c r="Y109" i="11"/>
  <c r="Z109" i="11"/>
  <c r="C110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Z110" i="11"/>
  <c r="C111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P111" i="11"/>
  <c r="Q111" i="11"/>
  <c r="R111" i="11"/>
  <c r="S111" i="11"/>
  <c r="T111" i="11"/>
  <c r="U111" i="11"/>
  <c r="V111" i="11"/>
  <c r="W111" i="11"/>
  <c r="X111" i="11"/>
  <c r="Y111" i="11"/>
  <c r="Z111" i="11"/>
  <c r="C112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P112" i="11"/>
  <c r="Q112" i="11"/>
  <c r="R112" i="11"/>
  <c r="S112" i="11"/>
  <c r="T112" i="11"/>
  <c r="U112" i="11"/>
  <c r="V112" i="11"/>
  <c r="W112" i="11"/>
  <c r="X112" i="11"/>
  <c r="Y112" i="11"/>
  <c r="Z112" i="11"/>
  <c r="C113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P113" i="11"/>
  <c r="Q113" i="11"/>
  <c r="R113" i="11"/>
  <c r="S113" i="11"/>
  <c r="T113" i="11"/>
  <c r="U113" i="11"/>
  <c r="V113" i="11"/>
  <c r="W113" i="11"/>
  <c r="X113" i="11"/>
  <c r="Y113" i="11"/>
  <c r="Z113" i="11"/>
  <c r="C114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P114" i="11"/>
  <c r="Q114" i="11"/>
  <c r="R114" i="11"/>
  <c r="S114" i="11"/>
  <c r="T114" i="11"/>
  <c r="U114" i="11"/>
  <c r="V114" i="11"/>
  <c r="W114" i="11"/>
  <c r="X114" i="11"/>
  <c r="Y114" i="11"/>
  <c r="Z114" i="11"/>
  <c r="C115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P115" i="11"/>
  <c r="Q115" i="11"/>
  <c r="R115" i="11"/>
  <c r="S115" i="11"/>
  <c r="T115" i="11"/>
  <c r="U115" i="11"/>
  <c r="V115" i="11"/>
  <c r="W115" i="11"/>
  <c r="X115" i="11"/>
  <c r="Y115" i="11"/>
  <c r="Z115" i="11"/>
  <c r="B115" i="11"/>
  <c r="B114" i="11"/>
  <c r="B113" i="11"/>
  <c r="B112" i="11"/>
  <c r="B111" i="11"/>
  <c r="B110" i="11"/>
  <c r="B109" i="11"/>
  <c r="C90" i="11"/>
  <c r="D90" i="11"/>
  <c r="E90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Z90" i="11"/>
  <c r="C91" i="11"/>
  <c r="D91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Z91" i="11"/>
  <c r="C92" i="11"/>
  <c r="D92" i="11"/>
  <c r="E92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Z92" i="11"/>
  <c r="C93" i="11"/>
  <c r="D93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Z93" i="11"/>
  <c r="C94" i="11"/>
  <c r="D94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C95" i="11"/>
  <c r="D95" i="11"/>
  <c r="E95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Z95" i="11"/>
  <c r="C96" i="11"/>
  <c r="D96" i="11"/>
  <c r="E96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Z96" i="11"/>
  <c r="B96" i="11"/>
  <c r="B95" i="11"/>
  <c r="B94" i="11"/>
  <c r="B93" i="11"/>
  <c r="B91" i="11"/>
  <c r="B90" i="11"/>
  <c r="B80" i="11"/>
  <c r="B92" i="11"/>
  <c r="C74" i="11"/>
  <c r="D74" i="11"/>
  <c r="E74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C75" i="11"/>
  <c r="D75" i="11"/>
  <c r="E75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C76" i="11"/>
  <c r="D76" i="11"/>
  <c r="E76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C77" i="11"/>
  <c r="D77" i="11"/>
  <c r="E77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Z77" i="11"/>
  <c r="C78" i="11"/>
  <c r="D78" i="11"/>
  <c r="E78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Z78" i="11"/>
  <c r="C79" i="11"/>
  <c r="D79" i="11"/>
  <c r="E79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C80" i="11"/>
  <c r="D80" i="11"/>
  <c r="E80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Z80" i="11"/>
  <c r="B79" i="11"/>
  <c r="B78" i="11"/>
  <c r="B77" i="11"/>
  <c r="B76" i="11"/>
  <c r="B75" i="11"/>
  <c r="B74" i="11"/>
  <c r="C17" i="1" l="1"/>
  <c r="C18" i="1" s="1"/>
  <c r="C16" i="1"/>
  <c r="B17" i="1"/>
  <c r="B18" i="1" s="1"/>
  <c r="B16" i="1"/>
  <c r="G18" i="1" l="1"/>
  <c r="F18" i="1"/>
  <c r="A18" i="1"/>
  <c r="D17" i="1"/>
  <c r="D18" i="1" s="1"/>
  <c r="E17" i="1"/>
  <c r="E18" i="1" s="1"/>
  <c r="F17" i="1"/>
  <c r="G17" i="1"/>
  <c r="A17" i="1"/>
  <c r="G16" i="1" l="1"/>
  <c r="F16" i="1"/>
  <c r="E16" i="1"/>
  <c r="D16" i="1"/>
  <c r="A16" i="1"/>
</calcChain>
</file>

<file path=xl/sharedStrings.xml><?xml version="1.0" encoding="utf-8"?>
<sst xmlns="http://schemas.openxmlformats.org/spreadsheetml/2006/main" count="347" uniqueCount="96">
  <si>
    <t>No Mn no Heat</t>
  </si>
  <si>
    <t>No Mn heat</t>
  </si>
  <si>
    <t>Mn full time no Heat</t>
  </si>
  <si>
    <t>Mn full time heat</t>
  </si>
  <si>
    <t>Mn end of ramp</t>
  </si>
  <si>
    <t>Mn 30% Fv/Fm</t>
  </si>
  <si>
    <t>Mn Pulsed</t>
  </si>
  <si>
    <t>T1-T2</t>
  </si>
  <si>
    <t>T3-T4</t>
  </si>
  <si>
    <t>T5-T6</t>
  </si>
  <si>
    <t>T7-T8</t>
  </si>
  <si>
    <t>T9-T10</t>
  </si>
  <si>
    <t>T11-T12</t>
  </si>
  <si>
    <t>T13-T14</t>
  </si>
  <si>
    <t>Mn at 30%</t>
  </si>
  <si>
    <t>Mn full 32C</t>
  </si>
  <si>
    <t>Pulsed</t>
  </si>
  <si>
    <t>No Mn 32C</t>
  </si>
  <si>
    <t>Mn full 26c</t>
  </si>
  <si>
    <t>control 26C (No Mn)</t>
  </si>
  <si>
    <t xml:space="preserve">Mn end of ram </t>
  </si>
  <si>
    <t>no mn no heat</t>
  </si>
  <si>
    <t>ACRO</t>
  </si>
  <si>
    <t>average</t>
  </si>
  <si>
    <t>T13 - T14</t>
  </si>
  <si>
    <t>T11 - T12</t>
  </si>
  <si>
    <t xml:space="preserve">t9 -t10 </t>
  </si>
  <si>
    <t xml:space="preserve">T7 - T8 </t>
  </si>
  <si>
    <t xml:space="preserve">T5 - T6 </t>
  </si>
  <si>
    <t xml:space="preserve">t3-t4 </t>
  </si>
  <si>
    <t xml:space="preserve">T1-T2 </t>
  </si>
  <si>
    <t>Host</t>
  </si>
  <si>
    <t>Symbiont</t>
  </si>
  <si>
    <t>microgram per gram after dilution</t>
  </si>
  <si>
    <t>SD</t>
  </si>
  <si>
    <t>SE</t>
  </si>
  <si>
    <t>Average</t>
  </si>
  <si>
    <t>Pulsed 48 mL</t>
  </si>
  <si>
    <t>pulsed</t>
  </si>
  <si>
    <t>No Mn Heat</t>
  </si>
  <si>
    <t>Mean</t>
  </si>
  <si>
    <t>date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</si>
  <si>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</si>
  <si>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</si>
  <si>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</si>
  <si>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</si>
  <si>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</si>
  <si>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</si>
  <si>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</si>
  <si>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</si>
  <si>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</si>
  <si>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</si>
  <si>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</si>
  <si>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</si>
  <si>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</si>
  <si>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</si>
  <si>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13th july</t>
  </si>
  <si>
    <t>16th july</t>
  </si>
  <si>
    <t>19th july</t>
  </si>
  <si>
    <t>28th july</t>
  </si>
  <si>
    <t>30th july</t>
  </si>
  <si>
    <t>24th july</t>
  </si>
  <si>
    <t>14th july</t>
  </si>
  <si>
    <t>27th july</t>
  </si>
  <si>
    <t>05-07-2024 , AT 8:20 AM</t>
  </si>
  <si>
    <t>06-07-2024 at 1pm</t>
  </si>
  <si>
    <t>07-07-2024 at 10:40 am</t>
  </si>
  <si>
    <t>08-07-2024 at 1pm</t>
  </si>
  <si>
    <t>09-07-2024 at 9:20 am</t>
  </si>
  <si>
    <t>10-07-2024 at 12:30pm</t>
  </si>
  <si>
    <t>11-07-2024 at 1pm</t>
  </si>
  <si>
    <t>12-07-2024 at 1pm</t>
  </si>
  <si>
    <t>13-07-2024 at 1pm</t>
  </si>
  <si>
    <t>14-07-2024 at 1pm</t>
  </si>
  <si>
    <t>15-07-2024 at 1pm</t>
  </si>
  <si>
    <t>16-07-2024 at 1pm</t>
  </si>
  <si>
    <t>17-07-2024 at 1pm</t>
  </si>
  <si>
    <t>18-07-2024 at 1pm</t>
  </si>
  <si>
    <t>19-07-2024 at 1pm</t>
  </si>
  <si>
    <t>20-07-2024 at 1pm</t>
  </si>
  <si>
    <t>21-07-2024 at 1pm</t>
  </si>
  <si>
    <t>22-07-2024 at 1pm</t>
  </si>
  <si>
    <t>23-07-2024 AT 1PM</t>
  </si>
  <si>
    <t>24-07-2024 AT 1PM</t>
  </si>
  <si>
    <t>25-07-2024 at 1pm</t>
  </si>
  <si>
    <t>26-07-2024 at 1pm</t>
  </si>
  <si>
    <t>28-07-2024 AT 1PM</t>
  </si>
  <si>
    <t>29-07-2024 at 1p,</t>
  </si>
  <si>
    <t>Tank</t>
  </si>
  <si>
    <t>Sal</t>
  </si>
  <si>
    <t>Ph</t>
  </si>
  <si>
    <t>temp</t>
  </si>
  <si>
    <t>pH</t>
  </si>
  <si>
    <t>ICP</t>
  </si>
  <si>
    <t>T3 calibration adjusted</t>
  </si>
  <si>
    <t>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</si>
</sst>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5" x14ac:knownFonts="1">
    <font>
      <sz val="12"/>
      <color theme="1"/>
      <name val="Aptos Narrow"/>
      <family val="2"/>
      <scheme val="minor"/>
    </font>
    <font>
      <sz val="12"/>
      <color theme="1"/>
      <name val="Arial"/>
      <family val="2"/>
    </font>
    <font>
      <sz val="11"/>
      <color theme="1"/>
      <name val="Aptos Narrow"/>
      <scheme val="minor"/>
    </font>
    <font>
      <sz val="11"/>
      <color theme="1"/>
      <name val="Arial"/>
      <family val="2"/>
    </font>
    <font>
      <sz val="12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9"/>
      <name val="Microsoft Sans Serif"/>
      <family val="2"/>
    </font>
    <font>
      <sz val="11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ptos Narrow"/>
      <scheme val="minor"/>
    </font>
    <font>
      <b/>
      <sz val="11"/>
      <color theme="1"/>
      <name val="Arial"/>
      <family val="2"/>
    </font>
    <font>
      <b/>
      <sz val="12"/>
      <color theme="1"/>
      <name val="Aptos Narrow"/>
    </font>
  </fonts>
  <fills count="3">
    <fill>
      <patternFill patternType="none"/>
    </fill>
    <fill>
      <patternFill patternType="gray125"/>
    </fill>
    <fill>
      <patternFill patternType="solid">
        <fgColor rgb="FFCC4125"/>
        <bgColor rgb="FFCC4125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5" fillId="0" borderId="0"/>
    <xf numFmtId="0" fontId="4" fillId="0" borderId="0"/>
    <xf numFmtId="0" fontId="8" fillId="0" borderId="0"/>
    <xf numFmtId="0" fontId="8" fillId="0" borderId="0"/>
    <xf numFmtId="0" fontId="5" fillId="0" borderId="0"/>
  </cellStyleXfs>
  <cellXfs count="3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1"/>
    <xf numFmtId="0" fontId="6" fillId="0" borderId="1" xfId="1" applyFont="1" applyBorder="1" applyAlignment="1">
      <alignment horizontal="left" vertical="top"/>
    </xf>
    <xf numFmtId="0" fontId="7" fillId="0" borderId="0" xfId="1" applyFont="1"/>
    <xf numFmtId="2" fontId="0" fillId="0" borderId="0" xfId="0" applyNumberFormat="1"/>
    <xf numFmtId="14" fontId="4" fillId="0" borderId="0" xfId="0" applyNumberFormat="1" applyFont="1"/>
    <xf numFmtId="0" fontId="0" fillId="0" borderId="0" xfId="0" applyFill="1"/>
    <xf numFmtId="0" fontId="4" fillId="0" borderId="0" xfId="0" applyFont="1" applyFill="1"/>
    <xf numFmtId="0" fontId="1" fillId="0" borderId="0" xfId="0" applyFont="1" applyFill="1"/>
    <xf numFmtId="0" fontId="2" fillId="0" borderId="0" xfId="0" applyFont="1" applyFill="1"/>
    <xf numFmtId="0" fontId="3" fillId="0" borderId="0" xfId="0" applyFont="1" applyFill="1"/>
    <xf numFmtId="164" fontId="2" fillId="0" borderId="0" xfId="0" applyNumberFormat="1" applyFont="1" applyFill="1"/>
    <xf numFmtId="2" fontId="0" fillId="0" borderId="0" xfId="0" applyNumberFormat="1" applyFill="1"/>
    <xf numFmtId="0" fontId="5" fillId="0" borderId="0" xfId="1" applyFill="1"/>
    <xf numFmtId="0" fontId="7" fillId="0" borderId="0" xfId="1" applyFont="1" applyFill="1"/>
    <xf numFmtId="0" fontId="6" fillId="0" borderId="1" xfId="1" applyFont="1" applyFill="1" applyBorder="1" applyAlignment="1">
      <alignment horizontal="left" vertical="top"/>
    </xf>
    <xf numFmtId="0" fontId="9" fillId="0" borderId="0" xfId="0" applyFont="1"/>
    <xf numFmtId="0" fontId="0" fillId="0" borderId="2" xfId="0" applyBorder="1"/>
    <xf numFmtId="0" fontId="9" fillId="0" borderId="2" xfId="0" applyFont="1" applyBorder="1"/>
    <xf numFmtId="0" fontId="0" fillId="0" borderId="3" xfId="0" applyBorder="1"/>
    <xf numFmtId="0" fontId="11" fillId="0" borderId="0" xfId="0" applyFont="1" applyFill="1"/>
    <xf numFmtId="0" fontId="10" fillId="0" borderId="0" xfId="0" applyFont="1" applyFill="1"/>
    <xf numFmtId="0" fontId="12" fillId="0" borderId="0" xfId="0" applyFont="1" applyFill="1"/>
    <xf numFmtId="0" fontId="13" fillId="0" borderId="0" xfId="0" applyFont="1" applyFill="1"/>
    <xf numFmtId="0" fontId="9" fillId="0" borderId="0" xfId="0" applyFont="1" applyFill="1"/>
    <xf numFmtId="14" fontId="14" fillId="0" borderId="0" xfId="0" applyNumberFormat="1" applyFont="1"/>
    <xf numFmtId="14" fontId="14" fillId="2" borderId="0" xfId="0" applyNumberFormat="1" applyFont="1" applyFill="1"/>
    <xf numFmtId="0" fontId="12" fillId="0" borderId="0" xfId="0" applyFont="1"/>
    <xf numFmtId="0" fontId="11" fillId="0" borderId="0" xfId="0" applyFont="1"/>
    <xf numFmtId="14" fontId="11" fillId="0" borderId="0" xfId="0" applyNumberFormat="1" applyFont="1"/>
    <xf numFmtId="0" fontId="10" fillId="0" borderId="0" xfId="0" applyFont="1"/>
    <xf numFmtId="14" fontId="9" fillId="0" borderId="0" xfId="0" applyNumberFormat="1" applyFont="1"/>
  </cellXfs>
  <cellStyles count="6">
    <cellStyle name="Normal" xfId="0" builtinId="0"/>
    <cellStyle name="Normal 2" xfId="1" xr:uid="{5384C9A9-DE94-734C-973C-30DB6395252F}"/>
    <cellStyle name="Normal 2 2" xfId="2" xr:uid="{66D1CB1D-5488-884B-8E73-E0173241DC1B}"/>
    <cellStyle name="Normal 2 2 2" xfId="3" xr:uid="{D5F0B054-F8F1-B341-AE9E-91E4A547B9E7}"/>
    <cellStyle name="Normal 4" xfId="5" xr:uid="{43B9C622-C33B-8744-BA42-A8A3BF901481}"/>
    <cellStyle name="Normal 6" xfId="4" xr:uid="{C6CAD610-0DC6-5D49-8E78-78EDC537239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'Fv Fm over time'!$A$4</c:f>
              <c:strCache>
                <c:ptCount val="1"/>
                <c:pt idx="0">
                  <c:v>No Mn no Heat</c:v>
                </c:pt>
              </c:strCache>
            </c:strRef>
          </c:tx>
          <c:spPr>
            <a:ln w="19050" cap="rnd">
              <a:solidFill>
                <a:schemeClr val="accent6">
                  <a:lumMod val="40000"/>
                  <a:lumOff val="60000"/>
                  <a:alpha val="44922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40000"/>
                  <a:lumOff val="60000"/>
                  <a:alpha val="50000"/>
                </a:schemeClr>
              </a:solidFill>
              <a:ln w="9525">
                <a:solidFill>
                  <a:schemeClr val="accent6">
                    <a:lumMod val="40000"/>
                    <a:lumOff val="60000"/>
                  </a:schemeClr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'Fv Fm over time'!$B$27:$Z$27</c:f>
                <c:numCache>
                  <c:formatCode>General</c:formatCode>
                  <c:ptCount val="25"/>
                  <c:pt idx="0">
                    <c:v>1.0739688500646051E-2</c:v>
                  </c:pt>
                  <c:pt idx="1">
                    <c:v>1.3390030966839824E-2</c:v>
                  </c:pt>
                  <c:pt idx="2">
                    <c:v>1.578541392961531E-2</c:v>
                  </c:pt>
                  <c:pt idx="3">
                    <c:v>1.3453530196475376E-2</c:v>
                  </c:pt>
                  <c:pt idx="4">
                    <c:v>1.7427700579099571E-2</c:v>
                  </c:pt>
                  <c:pt idx="5">
                    <c:v>1.8262604613601182E-2</c:v>
                  </c:pt>
                  <c:pt idx="6">
                    <c:v>1.3491018336566577E-2</c:v>
                  </c:pt>
                  <c:pt idx="7">
                    <c:v>8.8334762709990442E-3</c:v>
                  </c:pt>
                  <c:pt idx="8">
                    <c:v>7.3297167390525796E-3</c:v>
                  </c:pt>
                  <c:pt idx="9">
                    <c:v>1.2878119412241819E-2</c:v>
                  </c:pt>
                  <c:pt idx="10">
                    <c:v>7.4323548751320462E-3</c:v>
                  </c:pt>
                  <c:pt idx="11">
                    <c:v>6.8901921217588381E-3</c:v>
                  </c:pt>
                  <c:pt idx="12">
                    <c:v>8.9998597070995948E-3</c:v>
                  </c:pt>
                  <c:pt idx="13">
                    <c:v>7.7198419411254587E-3</c:v>
                  </c:pt>
                  <c:pt idx="14">
                    <c:v>1.0719094639893335E-2</c:v>
                  </c:pt>
                  <c:pt idx="15">
                    <c:v>7.5377836144440921E-3</c:v>
                  </c:pt>
                  <c:pt idx="16">
                    <c:v>8.4797739154157704E-3</c:v>
                  </c:pt>
                  <c:pt idx="17">
                    <c:v>8.5686473361737334E-3</c:v>
                  </c:pt>
                  <c:pt idx="18">
                    <c:v>8.6566083824364329E-3</c:v>
                  </c:pt>
                  <c:pt idx="19">
                    <c:v>1.0549905452206914E-2</c:v>
                  </c:pt>
                  <c:pt idx="20">
                    <c:v>8.4237518932834213E-3</c:v>
                  </c:pt>
                  <c:pt idx="21">
                    <c:v>8.5391256382996734E-3</c:v>
                  </c:pt>
                  <c:pt idx="22">
                    <c:v>1.0612552125962101E-2</c:v>
                  </c:pt>
                  <c:pt idx="23">
                    <c:v>9.3304919917483967E-3</c:v>
                  </c:pt>
                  <c:pt idx="24">
                    <c:v>7.9256328810800112E-3</c:v>
                  </c:pt>
                </c:numCache>
              </c:numRef>
            </c:plus>
            <c:minus>
              <c:numRef>
                <c:f>'Fv Fm over time'!$B$27:$Z$27</c:f>
                <c:numCache>
                  <c:formatCode>General</c:formatCode>
                  <c:ptCount val="25"/>
                  <c:pt idx="0">
                    <c:v>1.0739688500646051E-2</c:v>
                  </c:pt>
                  <c:pt idx="1">
                    <c:v>1.3390030966839824E-2</c:v>
                  </c:pt>
                  <c:pt idx="2">
                    <c:v>1.578541392961531E-2</c:v>
                  </c:pt>
                  <c:pt idx="3">
                    <c:v>1.3453530196475376E-2</c:v>
                  </c:pt>
                  <c:pt idx="4">
                    <c:v>1.7427700579099571E-2</c:v>
                  </c:pt>
                  <c:pt idx="5">
                    <c:v>1.8262604613601182E-2</c:v>
                  </c:pt>
                  <c:pt idx="6">
                    <c:v>1.3491018336566577E-2</c:v>
                  </c:pt>
                  <c:pt idx="7">
                    <c:v>8.8334762709990442E-3</c:v>
                  </c:pt>
                  <c:pt idx="8">
                    <c:v>7.3297167390525796E-3</c:v>
                  </c:pt>
                  <c:pt idx="9">
                    <c:v>1.2878119412241819E-2</c:v>
                  </c:pt>
                  <c:pt idx="10">
                    <c:v>7.4323548751320462E-3</c:v>
                  </c:pt>
                  <c:pt idx="11">
                    <c:v>6.8901921217588381E-3</c:v>
                  </c:pt>
                  <c:pt idx="12">
                    <c:v>8.9998597070995948E-3</c:v>
                  </c:pt>
                  <c:pt idx="13">
                    <c:v>7.7198419411254587E-3</c:v>
                  </c:pt>
                  <c:pt idx="14">
                    <c:v>1.0719094639893335E-2</c:v>
                  </c:pt>
                  <c:pt idx="15">
                    <c:v>7.5377836144440921E-3</c:v>
                  </c:pt>
                  <c:pt idx="16">
                    <c:v>8.4797739154157704E-3</c:v>
                  </c:pt>
                  <c:pt idx="17">
                    <c:v>8.5686473361737334E-3</c:v>
                  </c:pt>
                  <c:pt idx="18">
                    <c:v>8.6566083824364329E-3</c:v>
                  </c:pt>
                  <c:pt idx="19">
                    <c:v>1.0549905452206914E-2</c:v>
                  </c:pt>
                  <c:pt idx="20">
                    <c:v>8.4237518932834213E-3</c:v>
                  </c:pt>
                  <c:pt idx="21">
                    <c:v>8.5391256382996734E-3</c:v>
                  </c:pt>
                  <c:pt idx="22">
                    <c:v>1.0612552125962101E-2</c:v>
                  </c:pt>
                  <c:pt idx="23">
                    <c:v>9.3304919917483967E-3</c:v>
                  </c:pt>
                  <c:pt idx="24">
                    <c:v>7.9256328810800112E-3</c:v>
                  </c:pt>
                </c:numCache>
              </c:numRef>
            </c:minus>
            <c:spPr>
              <a:noFill/>
              <a:ln w="6350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'Fv Fm over time'!$B$3:$Z$3</c:f>
              <c:numCache>
                <c:formatCode>m/d/yy</c:formatCode>
                <c:ptCount val="25"/>
                <c:pt idx="0">
                  <c:v>45478</c:v>
                </c:pt>
                <c:pt idx="1">
                  <c:v>45479</c:v>
                </c:pt>
                <c:pt idx="2">
                  <c:v>45480</c:v>
                </c:pt>
                <c:pt idx="3">
                  <c:v>45481</c:v>
                </c:pt>
                <c:pt idx="4">
                  <c:v>45482</c:v>
                </c:pt>
                <c:pt idx="5">
                  <c:v>45483</c:v>
                </c:pt>
                <c:pt idx="6">
                  <c:v>45484</c:v>
                </c:pt>
                <c:pt idx="7">
                  <c:v>45485</c:v>
                </c:pt>
                <c:pt idx="8">
                  <c:v>45486</c:v>
                </c:pt>
                <c:pt idx="9">
                  <c:v>45487</c:v>
                </c:pt>
                <c:pt idx="10">
                  <c:v>45488</c:v>
                </c:pt>
                <c:pt idx="11">
                  <c:v>45489</c:v>
                </c:pt>
                <c:pt idx="12">
                  <c:v>45490</c:v>
                </c:pt>
                <c:pt idx="13">
                  <c:v>45491</c:v>
                </c:pt>
                <c:pt idx="14">
                  <c:v>45492</c:v>
                </c:pt>
                <c:pt idx="15">
                  <c:v>45493</c:v>
                </c:pt>
                <c:pt idx="16">
                  <c:v>45494</c:v>
                </c:pt>
                <c:pt idx="17">
                  <c:v>45495</c:v>
                </c:pt>
                <c:pt idx="18">
                  <c:v>45496</c:v>
                </c:pt>
                <c:pt idx="19">
                  <c:v>45497</c:v>
                </c:pt>
                <c:pt idx="20">
                  <c:v>45498</c:v>
                </c:pt>
                <c:pt idx="21">
                  <c:v>45499</c:v>
                </c:pt>
                <c:pt idx="22">
                  <c:v>45500</c:v>
                </c:pt>
                <c:pt idx="23">
                  <c:v>45501</c:v>
                </c:pt>
                <c:pt idx="24">
                  <c:v>45502</c:v>
                </c:pt>
              </c:numCache>
            </c:numRef>
          </c:xVal>
          <c:yVal>
            <c:numRef>
              <c:f>'Fv Fm over time'!$B$4:$Z$4</c:f>
              <c:numCache>
                <c:formatCode>General</c:formatCode>
                <c:ptCount val="25"/>
                <c:pt idx="0">
                  <c:v>0.66750000000000009</c:v>
                </c:pt>
                <c:pt idx="1">
                  <c:v>0.65666666666666662</c:v>
                </c:pt>
                <c:pt idx="2">
                  <c:v>0.63916666666666655</c:v>
                </c:pt>
                <c:pt idx="3">
                  <c:v>0.63083333333333336</c:v>
                </c:pt>
                <c:pt idx="4">
                  <c:v>0.62583333333333335</c:v>
                </c:pt>
                <c:pt idx="5">
                  <c:v>0.61250000000000004</c:v>
                </c:pt>
                <c:pt idx="6">
                  <c:v>0.59750000000000003</c:v>
                </c:pt>
                <c:pt idx="7">
                  <c:v>0.63500000000000001</c:v>
                </c:pt>
                <c:pt idx="8">
                  <c:v>0.63916666666666666</c:v>
                </c:pt>
                <c:pt idx="9">
                  <c:v>0.60416666666666663</c:v>
                </c:pt>
                <c:pt idx="10">
                  <c:v>0.64583333333333337</c:v>
                </c:pt>
                <c:pt idx="11">
                  <c:v>0.64666666666666672</c:v>
                </c:pt>
                <c:pt idx="12">
                  <c:v>0.64416666666666678</c:v>
                </c:pt>
                <c:pt idx="13">
                  <c:v>0.6333333333333333</c:v>
                </c:pt>
                <c:pt idx="14">
                  <c:v>0.64166666666666672</c:v>
                </c:pt>
                <c:pt idx="15">
                  <c:v>0.6349999999999999</c:v>
                </c:pt>
                <c:pt idx="16">
                  <c:v>0.63583333333333336</c:v>
                </c:pt>
                <c:pt idx="17">
                  <c:v>0.63583333333333336</c:v>
                </c:pt>
                <c:pt idx="18">
                  <c:v>0.63083333333333347</c:v>
                </c:pt>
                <c:pt idx="19">
                  <c:v>0.63583333333333336</c:v>
                </c:pt>
                <c:pt idx="20">
                  <c:v>0.65166666666666673</c:v>
                </c:pt>
                <c:pt idx="21">
                  <c:v>0.63249999999999995</c:v>
                </c:pt>
                <c:pt idx="22">
                  <c:v>0.6366666666666666</c:v>
                </c:pt>
                <c:pt idx="23">
                  <c:v>0.64083333333333325</c:v>
                </c:pt>
                <c:pt idx="24">
                  <c:v>0.65083333333333337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05-CF4B-87D6-02DC7A8E9C99}"/>
            </c:ext>
          </c:extLst>
        </c:ser>
        <c:ser>
          <c:idx val="1"/>
          <c:order val="1"/>
          <c:tx>
            <c:strRef>
              <c:f>'Fv Fm over time'!$A$5</c:f>
              <c:strCache>
                <c:ptCount val="1"/>
                <c:pt idx="0">
                  <c:v>No Mn heat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  <a:alpha val="49809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alpha val="48685"/>
                </a:schemeClr>
              </a:solidFill>
              <a:ln w="9525">
                <a:solidFill>
                  <a:schemeClr val="accent2">
                    <a:lumMod val="50000"/>
                    <a:alpha val="47935"/>
                  </a:schemeClr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'Fv Fm over time'!$B$28:$Z$28</c:f>
                <c:numCache>
                  <c:formatCode>General</c:formatCode>
                  <c:ptCount val="25"/>
                  <c:pt idx="0">
                    <c:v>8.5391256382996647E-3</c:v>
                  </c:pt>
                  <c:pt idx="1">
                    <c:v>8.8012567973057773E-3</c:v>
                  </c:pt>
                  <c:pt idx="2">
                    <c:v>9.1976061883492066E-3</c:v>
                  </c:pt>
                  <c:pt idx="3">
                    <c:v>8.4387274640268586E-3</c:v>
                  </c:pt>
                  <c:pt idx="4">
                    <c:v>1.6491503781332281E-2</c:v>
                  </c:pt>
                  <c:pt idx="5">
                    <c:v>9.6006102499641768E-3</c:v>
                  </c:pt>
                  <c:pt idx="6">
                    <c:v>1.8090680674665825E-2</c:v>
                  </c:pt>
                  <c:pt idx="7">
                    <c:v>9.5709735844132122E-3</c:v>
                  </c:pt>
                  <c:pt idx="8">
                    <c:v>7.6334921248536131E-3</c:v>
                  </c:pt>
                  <c:pt idx="9">
                    <c:v>1.2722762548624689E-2</c:v>
                  </c:pt>
                  <c:pt idx="10">
                    <c:v>5.3830542192395553E-3</c:v>
                  </c:pt>
                  <c:pt idx="11">
                    <c:v>9.5610742813839484E-3</c:v>
                  </c:pt>
                  <c:pt idx="12">
                    <c:v>6.5520449425574773E-3</c:v>
                  </c:pt>
                  <c:pt idx="13">
                    <c:v>9.701999169180962E-3</c:v>
                  </c:pt>
                  <c:pt idx="14">
                    <c:v>8.7436845895778031E-3</c:v>
                  </c:pt>
                  <c:pt idx="15">
                    <c:v>6.6666666666666732E-3</c:v>
                  </c:pt>
                  <c:pt idx="16">
                    <c:v>1.0453721970202914E-2</c:v>
                  </c:pt>
                  <c:pt idx="17">
                    <c:v>1.5016825580163424E-2</c:v>
                  </c:pt>
                  <c:pt idx="18">
                    <c:v>2.9244484932887806E-2</c:v>
                  </c:pt>
                  <c:pt idx="19">
                    <c:v>3.3911649915626306E-2</c:v>
                  </c:pt>
                  <c:pt idx="20">
                    <c:v>4.0759054270805957E-2</c:v>
                  </c:pt>
                  <c:pt idx="21">
                    <c:v>4.9946309557201897E-2</c:v>
                  </c:pt>
                  <c:pt idx="22">
                    <c:v>6.0178081683878212E-2</c:v>
                  </c:pt>
                  <c:pt idx="23">
                    <c:v>5.3999158242597538E-2</c:v>
                  </c:pt>
                  <c:pt idx="24">
                    <c:v>4.9606405378191387E-2</c:v>
                  </c:pt>
                </c:numCache>
              </c:numRef>
            </c:plus>
            <c:minus>
              <c:numRef>
                <c:f>'Fv Fm over time'!$B$28:$Z$28</c:f>
                <c:numCache>
                  <c:formatCode>General</c:formatCode>
                  <c:ptCount val="25"/>
                  <c:pt idx="0">
                    <c:v>8.5391256382996647E-3</c:v>
                  </c:pt>
                  <c:pt idx="1">
                    <c:v>8.8012567973057773E-3</c:v>
                  </c:pt>
                  <c:pt idx="2">
                    <c:v>9.1976061883492066E-3</c:v>
                  </c:pt>
                  <c:pt idx="3">
                    <c:v>8.4387274640268586E-3</c:v>
                  </c:pt>
                  <c:pt idx="4">
                    <c:v>1.6491503781332281E-2</c:v>
                  </c:pt>
                  <c:pt idx="5">
                    <c:v>9.6006102499641768E-3</c:v>
                  </c:pt>
                  <c:pt idx="6">
                    <c:v>1.8090680674665825E-2</c:v>
                  </c:pt>
                  <c:pt idx="7">
                    <c:v>9.5709735844132122E-3</c:v>
                  </c:pt>
                  <c:pt idx="8">
                    <c:v>7.6334921248536131E-3</c:v>
                  </c:pt>
                  <c:pt idx="9">
                    <c:v>1.2722762548624689E-2</c:v>
                  </c:pt>
                  <c:pt idx="10">
                    <c:v>5.3830542192395553E-3</c:v>
                  </c:pt>
                  <c:pt idx="11">
                    <c:v>9.5610742813839484E-3</c:v>
                  </c:pt>
                  <c:pt idx="12">
                    <c:v>6.5520449425574773E-3</c:v>
                  </c:pt>
                  <c:pt idx="13">
                    <c:v>9.701999169180962E-3</c:v>
                  </c:pt>
                  <c:pt idx="14">
                    <c:v>8.7436845895778031E-3</c:v>
                  </c:pt>
                  <c:pt idx="15">
                    <c:v>6.6666666666666732E-3</c:v>
                  </c:pt>
                  <c:pt idx="16">
                    <c:v>1.0453721970202914E-2</c:v>
                  </c:pt>
                  <c:pt idx="17">
                    <c:v>1.5016825580163424E-2</c:v>
                  </c:pt>
                  <c:pt idx="18">
                    <c:v>2.9244484932887806E-2</c:v>
                  </c:pt>
                  <c:pt idx="19">
                    <c:v>3.3911649915626306E-2</c:v>
                  </c:pt>
                  <c:pt idx="20">
                    <c:v>4.0759054270805957E-2</c:v>
                  </c:pt>
                  <c:pt idx="21">
                    <c:v>4.9946309557201897E-2</c:v>
                  </c:pt>
                  <c:pt idx="22">
                    <c:v>6.0178081683878212E-2</c:v>
                  </c:pt>
                  <c:pt idx="23">
                    <c:v>5.3999158242597538E-2</c:v>
                  </c:pt>
                  <c:pt idx="24">
                    <c:v>4.9606405378191387E-2</c:v>
                  </c:pt>
                </c:numCache>
              </c:numRef>
            </c:minus>
            <c:spPr>
              <a:noFill/>
              <a:ln w="6350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'Fv Fm over time'!$B$3:$Z$3</c:f>
              <c:numCache>
                <c:formatCode>m/d/yy</c:formatCode>
                <c:ptCount val="25"/>
                <c:pt idx="0">
                  <c:v>45478</c:v>
                </c:pt>
                <c:pt idx="1">
                  <c:v>45479</c:v>
                </c:pt>
                <c:pt idx="2">
                  <c:v>45480</c:v>
                </c:pt>
                <c:pt idx="3">
                  <c:v>45481</c:v>
                </c:pt>
                <c:pt idx="4">
                  <c:v>45482</c:v>
                </c:pt>
                <c:pt idx="5">
                  <c:v>45483</c:v>
                </c:pt>
                <c:pt idx="6">
                  <c:v>45484</c:v>
                </c:pt>
                <c:pt idx="7">
                  <c:v>45485</c:v>
                </c:pt>
                <c:pt idx="8">
                  <c:v>45486</c:v>
                </c:pt>
                <c:pt idx="9">
                  <c:v>45487</c:v>
                </c:pt>
                <c:pt idx="10">
                  <c:v>45488</c:v>
                </c:pt>
                <c:pt idx="11">
                  <c:v>45489</c:v>
                </c:pt>
                <c:pt idx="12">
                  <c:v>45490</c:v>
                </c:pt>
                <c:pt idx="13">
                  <c:v>45491</c:v>
                </c:pt>
                <c:pt idx="14">
                  <c:v>45492</c:v>
                </c:pt>
                <c:pt idx="15">
                  <c:v>45493</c:v>
                </c:pt>
                <c:pt idx="16">
                  <c:v>45494</c:v>
                </c:pt>
                <c:pt idx="17">
                  <c:v>45495</c:v>
                </c:pt>
                <c:pt idx="18">
                  <c:v>45496</c:v>
                </c:pt>
                <c:pt idx="19">
                  <c:v>45497</c:v>
                </c:pt>
                <c:pt idx="20">
                  <c:v>45498</c:v>
                </c:pt>
                <c:pt idx="21">
                  <c:v>45499</c:v>
                </c:pt>
                <c:pt idx="22">
                  <c:v>45500</c:v>
                </c:pt>
                <c:pt idx="23">
                  <c:v>45501</c:v>
                </c:pt>
                <c:pt idx="24">
                  <c:v>45502</c:v>
                </c:pt>
              </c:numCache>
            </c:numRef>
          </c:xVal>
          <c:yVal>
            <c:numRef>
              <c:f>'Fv Fm over time'!$B$5:$Z$5</c:f>
              <c:numCache>
                <c:formatCode>General</c:formatCode>
                <c:ptCount val="25"/>
                <c:pt idx="0">
                  <c:v>0.65749999999999997</c:v>
                </c:pt>
                <c:pt idx="1">
                  <c:v>0.65749999999999997</c:v>
                </c:pt>
                <c:pt idx="2">
                  <c:v>0.65166666666666673</c:v>
                </c:pt>
                <c:pt idx="3">
                  <c:v>0.61</c:v>
                </c:pt>
                <c:pt idx="4">
                  <c:v>0.61499999999999988</c:v>
                </c:pt>
                <c:pt idx="5">
                  <c:v>0.61166666666666669</c:v>
                </c:pt>
                <c:pt idx="6">
                  <c:v>0.64</c:v>
                </c:pt>
                <c:pt idx="7">
                  <c:v>0.64083333333333325</c:v>
                </c:pt>
                <c:pt idx="8">
                  <c:v>0.63583333333333325</c:v>
                </c:pt>
                <c:pt idx="9">
                  <c:v>0.60833333333333328</c:v>
                </c:pt>
                <c:pt idx="10">
                  <c:v>0.64250000000000007</c:v>
                </c:pt>
                <c:pt idx="11">
                  <c:v>0.6366666666666666</c:v>
                </c:pt>
                <c:pt idx="12">
                  <c:v>0.64333333333333331</c:v>
                </c:pt>
                <c:pt idx="13">
                  <c:v>0.62250000000000005</c:v>
                </c:pt>
                <c:pt idx="14">
                  <c:v>0.61416666666666664</c:v>
                </c:pt>
                <c:pt idx="15">
                  <c:v>0.60666666666666658</c:v>
                </c:pt>
                <c:pt idx="16">
                  <c:v>0.59750000000000003</c:v>
                </c:pt>
                <c:pt idx="17">
                  <c:v>0.58166666666666667</c:v>
                </c:pt>
                <c:pt idx="18">
                  <c:v>0.50583333333333325</c:v>
                </c:pt>
                <c:pt idx="19">
                  <c:v>0.47</c:v>
                </c:pt>
                <c:pt idx="20">
                  <c:v>0.3691666666666667</c:v>
                </c:pt>
                <c:pt idx="21">
                  <c:v>0.35583333333333339</c:v>
                </c:pt>
                <c:pt idx="22">
                  <c:v>0.38749999999999996</c:v>
                </c:pt>
                <c:pt idx="23">
                  <c:v>0.33500000000000002</c:v>
                </c:pt>
                <c:pt idx="24">
                  <c:v>0.2175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05-CF4B-87D6-02DC7A8E9C99}"/>
            </c:ext>
          </c:extLst>
        </c:ser>
        <c:ser>
          <c:idx val="2"/>
          <c:order val="2"/>
          <c:tx>
            <c:strRef>
              <c:f>'Fv Fm over time'!$A$6</c:f>
              <c:strCache>
                <c:ptCount val="1"/>
                <c:pt idx="0">
                  <c:v>Mn full time no Heat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alpha val="50861"/>
                </a:schemeClr>
              </a:solidFill>
              <a:ln w="9525">
                <a:solidFill>
                  <a:schemeClr val="accent6">
                    <a:lumMod val="50000"/>
                    <a:alpha val="47170"/>
                  </a:schemeClr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'Fv Fm over time'!$B$29:$Z$29</c:f>
                <c:numCache>
                  <c:formatCode>General</c:formatCode>
                  <c:ptCount val="25"/>
                  <c:pt idx="0">
                    <c:v>1.3998556924183142E-2</c:v>
                  </c:pt>
                  <c:pt idx="1">
                    <c:v>1.7659804270395721E-2</c:v>
                  </c:pt>
                  <c:pt idx="2">
                    <c:v>1.1312257587111938E-2</c:v>
                  </c:pt>
                  <c:pt idx="3">
                    <c:v>1.9462473604038213E-2</c:v>
                  </c:pt>
                  <c:pt idx="4">
                    <c:v>1.3565683830083091E-2</c:v>
                  </c:pt>
                  <c:pt idx="5">
                    <c:v>1.3397101299621621E-2</c:v>
                  </c:pt>
                  <c:pt idx="6">
                    <c:v>1.6529740567604905E-2</c:v>
                  </c:pt>
                  <c:pt idx="7">
                    <c:v>8.7904907299153293E-3</c:v>
                  </c:pt>
                  <c:pt idx="8">
                    <c:v>1.1666666666666672E-2</c:v>
                  </c:pt>
                  <c:pt idx="9">
                    <c:v>7.9613967608604033E-3</c:v>
                  </c:pt>
                  <c:pt idx="10">
                    <c:v>9.6399840730829588E-3</c:v>
                  </c:pt>
                  <c:pt idx="11">
                    <c:v>7.9256328810800147E-3</c:v>
                  </c:pt>
                  <c:pt idx="12">
                    <c:v>6.3315388207278583E-3</c:v>
                  </c:pt>
                  <c:pt idx="13">
                    <c:v>8.4237518932834266E-3</c:v>
                  </c:pt>
                  <c:pt idx="14">
                    <c:v>8.7761154288330881E-3</c:v>
                  </c:pt>
                  <c:pt idx="15">
                    <c:v>7.3297167390525796E-3</c:v>
                  </c:pt>
                  <c:pt idx="16">
                    <c:v>8.9998597070995931E-3</c:v>
                  </c:pt>
                  <c:pt idx="17">
                    <c:v>8.2991724061054883E-3</c:v>
                  </c:pt>
                  <c:pt idx="18">
                    <c:v>6.0302268915552789E-3</c:v>
                  </c:pt>
                  <c:pt idx="19">
                    <c:v>7.8294639056901705E-3</c:v>
                  </c:pt>
                  <c:pt idx="20">
                    <c:v>9.872930034936311E-3</c:v>
                  </c:pt>
                  <c:pt idx="21">
                    <c:v>8.6566083824364311E-3</c:v>
                  </c:pt>
                  <c:pt idx="22">
                    <c:v>1.311131441376362E-2</c:v>
                  </c:pt>
                  <c:pt idx="23">
                    <c:v>7.2821908125441986E-3</c:v>
                  </c:pt>
                  <c:pt idx="24">
                    <c:v>8.9611958076492478E-3</c:v>
                  </c:pt>
                </c:numCache>
              </c:numRef>
            </c:plus>
            <c:minus>
              <c:numRef>
                <c:f>'Fv Fm over time'!$B$29:$Z$29</c:f>
                <c:numCache>
                  <c:formatCode>General</c:formatCode>
                  <c:ptCount val="25"/>
                  <c:pt idx="0">
                    <c:v>1.3998556924183142E-2</c:v>
                  </c:pt>
                  <c:pt idx="1">
                    <c:v>1.7659804270395721E-2</c:v>
                  </c:pt>
                  <c:pt idx="2">
                    <c:v>1.1312257587111938E-2</c:v>
                  </c:pt>
                  <c:pt idx="3">
                    <c:v>1.9462473604038213E-2</c:v>
                  </c:pt>
                  <c:pt idx="4">
                    <c:v>1.3565683830083091E-2</c:v>
                  </c:pt>
                  <c:pt idx="5">
                    <c:v>1.3397101299621621E-2</c:v>
                  </c:pt>
                  <c:pt idx="6">
                    <c:v>1.6529740567604905E-2</c:v>
                  </c:pt>
                  <c:pt idx="7">
                    <c:v>8.7904907299153293E-3</c:v>
                  </c:pt>
                  <c:pt idx="8">
                    <c:v>1.1666666666666672E-2</c:v>
                  </c:pt>
                  <c:pt idx="9">
                    <c:v>7.9613967608604033E-3</c:v>
                  </c:pt>
                  <c:pt idx="10">
                    <c:v>9.6399840730829588E-3</c:v>
                  </c:pt>
                  <c:pt idx="11">
                    <c:v>7.9256328810800147E-3</c:v>
                  </c:pt>
                  <c:pt idx="12">
                    <c:v>6.3315388207278583E-3</c:v>
                  </c:pt>
                  <c:pt idx="13">
                    <c:v>8.4237518932834266E-3</c:v>
                  </c:pt>
                  <c:pt idx="14">
                    <c:v>8.7761154288330881E-3</c:v>
                  </c:pt>
                  <c:pt idx="15">
                    <c:v>7.3297167390525796E-3</c:v>
                  </c:pt>
                  <c:pt idx="16">
                    <c:v>8.9998597070995931E-3</c:v>
                  </c:pt>
                  <c:pt idx="17">
                    <c:v>8.2991724061054883E-3</c:v>
                  </c:pt>
                  <c:pt idx="18">
                    <c:v>6.0302268915552789E-3</c:v>
                  </c:pt>
                  <c:pt idx="19">
                    <c:v>7.8294639056901705E-3</c:v>
                  </c:pt>
                  <c:pt idx="20">
                    <c:v>9.872930034936311E-3</c:v>
                  </c:pt>
                  <c:pt idx="21">
                    <c:v>8.6566083824364311E-3</c:v>
                  </c:pt>
                  <c:pt idx="22">
                    <c:v>1.311131441376362E-2</c:v>
                  </c:pt>
                  <c:pt idx="23">
                    <c:v>7.2821908125441986E-3</c:v>
                  </c:pt>
                  <c:pt idx="24">
                    <c:v>8.9611958076492478E-3</c:v>
                  </c:pt>
                </c:numCache>
              </c:numRef>
            </c:minus>
            <c:spPr>
              <a:noFill/>
              <a:ln w="6350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'Fv Fm over time'!$B$3:$Z$3</c:f>
              <c:numCache>
                <c:formatCode>m/d/yy</c:formatCode>
                <c:ptCount val="25"/>
                <c:pt idx="0">
                  <c:v>45478</c:v>
                </c:pt>
                <c:pt idx="1">
                  <c:v>45479</c:v>
                </c:pt>
                <c:pt idx="2">
                  <c:v>45480</c:v>
                </c:pt>
                <c:pt idx="3">
                  <c:v>45481</c:v>
                </c:pt>
                <c:pt idx="4">
                  <c:v>45482</c:v>
                </c:pt>
                <c:pt idx="5">
                  <c:v>45483</c:v>
                </c:pt>
                <c:pt idx="6">
                  <c:v>45484</c:v>
                </c:pt>
                <c:pt idx="7">
                  <c:v>45485</c:v>
                </c:pt>
                <c:pt idx="8">
                  <c:v>45486</c:v>
                </c:pt>
                <c:pt idx="9">
                  <c:v>45487</c:v>
                </c:pt>
                <c:pt idx="10">
                  <c:v>45488</c:v>
                </c:pt>
                <c:pt idx="11">
                  <c:v>45489</c:v>
                </c:pt>
                <c:pt idx="12">
                  <c:v>45490</c:v>
                </c:pt>
                <c:pt idx="13">
                  <c:v>45491</c:v>
                </c:pt>
                <c:pt idx="14">
                  <c:v>45492</c:v>
                </c:pt>
                <c:pt idx="15">
                  <c:v>45493</c:v>
                </c:pt>
                <c:pt idx="16">
                  <c:v>45494</c:v>
                </c:pt>
                <c:pt idx="17">
                  <c:v>45495</c:v>
                </c:pt>
                <c:pt idx="18">
                  <c:v>45496</c:v>
                </c:pt>
                <c:pt idx="19">
                  <c:v>45497</c:v>
                </c:pt>
                <c:pt idx="20">
                  <c:v>45498</c:v>
                </c:pt>
                <c:pt idx="21">
                  <c:v>45499</c:v>
                </c:pt>
                <c:pt idx="22">
                  <c:v>45500</c:v>
                </c:pt>
                <c:pt idx="23">
                  <c:v>45501</c:v>
                </c:pt>
                <c:pt idx="24">
                  <c:v>45502</c:v>
                </c:pt>
              </c:numCache>
            </c:numRef>
          </c:xVal>
          <c:yVal>
            <c:numRef>
              <c:f>'Fv Fm over time'!$B$6:$Z$6</c:f>
              <c:numCache>
                <c:formatCode>General</c:formatCode>
                <c:ptCount val="25"/>
                <c:pt idx="0">
                  <c:v>0.64666666666666661</c:v>
                </c:pt>
                <c:pt idx="1">
                  <c:v>0.63833333333333331</c:v>
                </c:pt>
                <c:pt idx="2">
                  <c:v>0.66583333333333339</c:v>
                </c:pt>
                <c:pt idx="3">
                  <c:v>0.62</c:v>
                </c:pt>
                <c:pt idx="4">
                  <c:v>0.62916666666666665</c:v>
                </c:pt>
                <c:pt idx="5">
                  <c:v>0.59916666666666651</c:v>
                </c:pt>
                <c:pt idx="6">
                  <c:v>0.61333333333333317</c:v>
                </c:pt>
                <c:pt idx="7">
                  <c:v>0.64</c:v>
                </c:pt>
                <c:pt idx="8">
                  <c:v>0.60166666666666668</c:v>
                </c:pt>
                <c:pt idx="9">
                  <c:v>0.65166666666666662</c:v>
                </c:pt>
                <c:pt idx="10">
                  <c:v>0.64333333333333331</c:v>
                </c:pt>
                <c:pt idx="11">
                  <c:v>0.65083333333333326</c:v>
                </c:pt>
                <c:pt idx="12">
                  <c:v>0.65416666666666667</c:v>
                </c:pt>
                <c:pt idx="13">
                  <c:v>0.63833333333333331</c:v>
                </c:pt>
                <c:pt idx="14">
                  <c:v>0.63833333333333331</c:v>
                </c:pt>
                <c:pt idx="15">
                  <c:v>0.63916666666666666</c:v>
                </c:pt>
                <c:pt idx="16">
                  <c:v>0.64416666666666667</c:v>
                </c:pt>
                <c:pt idx="17">
                  <c:v>0.63583333333333336</c:v>
                </c:pt>
                <c:pt idx="18">
                  <c:v>0.64</c:v>
                </c:pt>
                <c:pt idx="19">
                  <c:v>0.64583333333333337</c:v>
                </c:pt>
                <c:pt idx="20">
                  <c:v>0.64666666666666661</c:v>
                </c:pt>
                <c:pt idx="21">
                  <c:v>0.64916666666666667</c:v>
                </c:pt>
                <c:pt idx="22">
                  <c:v>0.64583333333333337</c:v>
                </c:pt>
                <c:pt idx="23">
                  <c:v>0.6399999999999999</c:v>
                </c:pt>
                <c:pt idx="24">
                  <c:v>0.65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5-CF4B-87D6-02DC7A8E9C99}"/>
            </c:ext>
          </c:extLst>
        </c:ser>
        <c:ser>
          <c:idx val="3"/>
          <c:order val="3"/>
          <c:tx>
            <c:strRef>
              <c:f>'Fv Fm over time'!$A$7</c:f>
              <c:strCache>
                <c:ptCount val="1"/>
                <c:pt idx="0">
                  <c:v>Mn full time heat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  <a:alpha val="49290"/>
                </a:schemeClr>
              </a:solidFill>
              <a:ln w="9525">
                <a:solidFill>
                  <a:schemeClr val="accent2">
                    <a:lumMod val="75000"/>
                    <a:alpha val="52000"/>
                  </a:schemeClr>
                </a:solidFill>
              </a:ln>
              <a:effectLst/>
            </c:spPr>
          </c:marker>
          <c:xVal>
            <c:numRef>
              <c:f>'Fv Fm over time'!$B$3:$Z$3</c:f>
              <c:numCache>
                <c:formatCode>m/d/yy</c:formatCode>
                <c:ptCount val="25"/>
                <c:pt idx="0">
                  <c:v>45478</c:v>
                </c:pt>
                <c:pt idx="1">
                  <c:v>45479</c:v>
                </c:pt>
                <c:pt idx="2">
                  <c:v>45480</c:v>
                </c:pt>
                <c:pt idx="3">
                  <c:v>45481</c:v>
                </c:pt>
                <c:pt idx="4">
                  <c:v>45482</c:v>
                </c:pt>
                <c:pt idx="5">
                  <c:v>45483</c:v>
                </c:pt>
                <c:pt idx="6">
                  <c:v>45484</c:v>
                </c:pt>
                <c:pt idx="7">
                  <c:v>45485</c:v>
                </c:pt>
                <c:pt idx="8">
                  <c:v>45486</c:v>
                </c:pt>
                <c:pt idx="9">
                  <c:v>45487</c:v>
                </c:pt>
                <c:pt idx="10">
                  <c:v>45488</c:v>
                </c:pt>
                <c:pt idx="11">
                  <c:v>45489</c:v>
                </c:pt>
                <c:pt idx="12">
                  <c:v>45490</c:v>
                </c:pt>
                <c:pt idx="13">
                  <c:v>45491</c:v>
                </c:pt>
                <c:pt idx="14">
                  <c:v>45492</c:v>
                </c:pt>
                <c:pt idx="15">
                  <c:v>45493</c:v>
                </c:pt>
                <c:pt idx="16">
                  <c:v>45494</c:v>
                </c:pt>
                <c:pt idx="17">
                  <c:v>45495</c:v>
                </c:pt>
                <c:pt idx="18">
                  <c:v>45496</c:v>
                </c:pt>
                <c:pt idx="19">
                  <c:v>45497</c:v>
                </c:pt>
                <c:pt idx="20">
                  <c:v>45498</c:v>
                </c:pt>
                <c:pt idx="21">
                  <c:v>45499</c:v>
                </c:pt>
                <c:pt idx="22">
                  <c:v>45500</c:v>
                </c:pt>
                <c:pt idx="23">
                  <c:v>45501</c:v>
                </c:pt>
                <c:pt idx="24">
                  <c:v>45502</c:v>
                </c:pt>
              </c:numCache>
            </c:numRef>
          </c:xVal>
          <c:yVal>
            <c:numRef>
              <c:f>'Fv Fm over time'!$B$7:$Z$7</c:f>
              <c:numCache>
                <c:formatCode>General</c:formatCode>
                <c:ptCount val="25"/>
                <c:pt idx="0">
                  <c:v>0.65083333333333326</c:v>
                </c:pt>
                <c:pt idx="1">
                  <c:v>0.63833333333333331</c:v>
                </c:pt>
                <c:pt idx="2">
                  <c:v>0.62583333333333335</c:v>
                </c:pt>
                <c:pt idx="3">
                  <c:v>0.62666666666666659</c:v>
                </c:pt>
                <c:pt idx="4">
                  <c:v>0.62249999999999994</c:v>
                </c:pt>
                <c:pt idx="5">
                  <c:v>0.58333333333333337</c:v>
                </c:pt>
                <c:pt idx="6">
                  <c:v>0.60416666666666663</c:v>
                </c:pt>
                <c:pt idx="7">
                  <c:v>0.63916666666666666</c:v>
                </c:pt>
                <c:pt idx="8">
                  <c:v>0.63249999999999995</c:v>
                </c:pt>
                <c:pt idx="9">
                  <c:v>0.61750000000000005</c:v>
                </c:pt>
                <c:pt idx="10">
                  <c:v>0.63166666666666671</c:v>
                </c:pt>
                <c:pt idx="11">
                  <c:v>0.63166666666666671</c:v>
                </c:pt>
                <c:pt idx="12">
                  <c:v>0.63916666666666677</c:v>
                </c:pt>
                <c:pt idx="13">
                  <c:v>0.61833333333333329</c:v>
                </c:pt>
                <c:pt idx="14">
                  <c:v>0.61083333333333323</c:v>
                </c:pt>
                <c:pt idx="15">
                  <c:v>0.59083333333333343</c:v>
                </c:pt>
                <c:pt idx="16">
                  <c:v>0.58833333333333349</c:v>
                </c:pt>
                <c:pt idx="17">
                  <c:v>0.56500000000000006</c:v>
                </c:pt>
                <c:pt idx="18">
                  <c:v>0.5033333333333333</c:v>
                </c:pt>
                <c:pt idx="19">
                  <c:v>0.5083333333333333</c:v>
                </c:pt>
                <c:pt idx="20">
                  <c:v>0.48333333333333339</c:v>
                </c:pt>
                <c:pt idx="21">
                  <c:v>0.4366666666666667</c:v>
                </c:pt>
                <c:pt idx="22">
                  <c:v>0.38666666666666666</c:v>
                </c:pt>
                <c:pt idx="23">
                  <c:v>0.33666666666666667</c:v>
                </c:pt>
                <c:pt idx="24">
                  <c:v>0.36000000000000004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05-CF4B-87D6-02DC7A8E9C99}"/>
            </c:ext>
          </c:extLst>
        </c:ser>
        <c:ser>
          <c:idx val="4"/>
          <c:order val="4"/>
          <c:tx>
            <c:strRef>
              <c:f>'Fv Fm over time'!$A$8</c:f>
              <c:strCache>
                <c:ptCount val="1"/>
                <c:pt idx="0">
                  <c:v>Mn end of ram 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  <a:alpha val="55895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  <a:alpha val="48000"/>
                </a:schemeClr>
              </a:solidFill>
              <a:ln w="9525">
                <a:solidFill>
                  <a:schemeClr val="accent2">
                    <a:lumMod val="60000"/>
                    <a:lumOff val="40000"/>
                    <a:alpha val="51060"/>
                  </a:schemeClr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'Fv Fm over time'!$B$31:$Z$31</c:f>
                <c:numCache>
                  <c:formatCode>General</c:formatCode>
                  <c:ptCount val="25"/>
                  <c:pt idx="0">
                    <c:v>2.5756238824484017E-2</c:v>
                  </c:pt>
                  <c:pt idx="1">
                    <c:v>2.5281246293278666E-2</c:v>
                  </c:pt>
                  <c:pt idx="2">
                    <c:v>1.0432563627334548E-2</c:v>
                  </c:pt>
                  <c:pt idx="3">
                    <c:v>1.4483968846119272E-2</c:v>
                  </c:pt>
                  <c:pt idx="4">
                    <c:v>1.2936812246883356E-2</c:v>
                  </c:pt>
                  <c:pt idx="5">
                    <c:v>1.967379172422231E-2</c:v>
                  </c:pt>
                  <c:pt idx="6">
                    <c:v>1.7194299619174354E-2</c:v>
                  </c:pt>
                  <c:pt idx="7">
                    <c:v>6.9084927970775806E-3</c:v>
                  </c:pt>
                  <c:pt idx="8">
                    <c:v>1.2643120059877817E-2</c:v>
                  </c:pt>
                  <c:pt idx="9">
                    <c:v>1.4503569745188087E-2</c:v>
                  </c:pt>
                  <c:pt idx="10">
                    <c:v>5.5505027527315816E-3</c:v>
                  </c:pt>
                  <c:pt idx="11">
                    <c:v>1.1955303966411434E-2</c:v>
                  </c:pt>
                  <c:pt idx="12">
                    <c:v>9.7279925156138168E-3</c:v>
                  </c:pt>
                  <c:pt idx="13">
                    <c:v>1.4536179176472234E-2</c:v>
                  </c:pt>
                  <c:pt idx="14">
                    <c:v>1.0335288182638246E-2</c:v>
                  </c:pt>
                  <c:pt idx="15">
                    <c:v>1.2560459844892284E-2</c:v>
                  </c:pt>
                  <c:pt idx="16">
                    <c:v>9.7279925156138099E-3</c:v>
                  </c:pt>
                  <c:pt idx="17">
                    <c:v>1.3226370200734161E-2</c:v>
                  </c:pt>
                  <c:pt idx="18">
                    <c:v>3.2947578504238018E-2</c:v>
                  </c:pt>
                  <c:pt idx="19">
                    <c:v>3.3630305897322452E-2</c:v>
                  </c:pt>
                  <c:pt idx="20">
                    <c:v>4.0235261433551994E-2</c:v>
                  </c:pt>
                  <c:pt idx="21">
                    <c:v>4.4695236227299887E-2</c:v>
                  </c:pt>
                  <c:pt idx="22">
                    <c:v>4.7912878638148415E-2</c:v>
                  </c:pt>
                  <c:pt idx="23">
                    <c:v>5.1805775583793609E-2</c:v>
                  </c:pt>
                  <c:pt idx="24">
                    <c:v>5.676184075289107E-2</c:v>
                  </c:pt>
                </c:numCache>
              </c:numRef>
            </c:plus>
            <c:minus>
              <c:numRef>
                <c:f>'Fv Fm over time'!$B$31:$Z$31</c:f>
                <c:numCache>
                  <c:formatCode>General</c:formatCode>
                  <c:ptCount val="25"/>
                  <c:pt idx="0">
                    <c:v>2.5756238824484017E-2</c:v>
                  </c:pt>
                  <c:pt idx="1">
                    <c:v>2.5281246293278666E-2</c:v>
                  </c:pt>
                  <c:pt idx="2">
                    <c:v>1.0432563627334548E-2</c:v>
                  </c:pt>
                  <c:pt idx="3">
                    <c:v>1.4483968846119272E-2</c:v>
                  </c:pt>
                  <c:pt idx="4">
                    <c:v>1.2936812246883356E-2</c:v>
                  </c:pt>
                  <c:pt idx="5">
                    <c:v>1.967379172422231E-2</c:v>
                  </c:pt>
                  <c:pt idx="6">
                    <c:v>1.7194299619174354E-2</c:v>
                  </c:pt>
                  <c:pt idx="7">
                    <c:v>6.9084927970775806E-3</c:v>
                  </c:pt>
                  <c:pt idx="8">
                    <c:v>1.2643120059877817E-2</c:v>
                  </c:pt>
                  <c:pt idx="9">
                    <c:v>1.4503569745188087E-2</c:v>
                  </c:pt>
                  <c:pt idx="10">
                    <c:v>5.5505027527315816E-3</c:v>
                  </c:pt>
                  <c:pt idx="11">
                    <c:v>1.1955303966411434E-2</c:v>
                  </c:pt>
                  <c:pt idx="12">
                    <c:v>9.7279925156138168E-3</c:v>
                  </c:pt>
                  <c:pt idx="13">
                    <c:v>1.4536179176472234E-2</c:v>
                  </c:pt>
                  <c:pt idx="14">
                    <c:v>1.0335288182638246E-2</c:v>
                  </c:pt>
                  <c:pt idx="15">
                    <c:v>1.2560459844892284E-2</c:v>
                  </c:pt>
                  <c:pt idx="16">
                    <c:v>9.7279925156138099E-3</c:v>
                  </c:pt>
                  <c:pt idx="17">
                    <c:v>1.3226370200734161E-2</c:v>
                  </c:pt>
                  <c:pt idx="18">
                    <c:v>3.2947578504238018E-2</c:v>
                  </c:pt>
                  <c:pt idx="19">
                    <c:v>3.3630305897322452E-2</c:v>
                  </c:pt>
                  <c:pt idx="20">
                    <c:v>4.0235261433551994E-2</c:v>
                  </c:pt>
                  <c:pt idx="21">
                    <c:v>4.4695236227299887E-2</c:v>
                  </c:pt>
                  <c:pt idx="22">
                    <c:v>4.7912878638148415E-2</c:v>
                  </c:pt>
                  <c:pt idx="23">
                    <c:v>5.1805775583793609E-2</c:v>
                  </c:pt>
                  <c:pt idx="24">
                    <c:v>5.676184075289107E-2</c:v>
                  </c:pt>
                </c:numCache>
              </c:numRef>
            </c:minus>
            <c:spPr>
              <a:noFill/>
              <a:ln w="6350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'Fv Fm over time'!$B$3:$Z$3</c:f>
              <c:numCache>
                <c:formatCode>m/d/yy</c:formatCode>
                <c:ptCount val="25"/>
                <c:pt idx="0">
                  <c:v>45478</c:v>
                </c:pt>
                <c:pt idx="1">
                  <c:v>45479</c:v>
                </c:pt>
                <c:pt idx="2">
                  <c:v>45480</c:v>
                </c:pt>
                <c:pt idx="3">
                  <c:v>45481</c:v>
                </c:pt>
                <c:pt idx="4">
                  <c:v>45482</c:v>
                </c:pt>
                <c:pt idx="5">
                  <c:v>45483</c:v>
                </c:pt>
                <c:pt idx="6">
                  <c:v>45484</c:v>
                </c:pt>
                <c:pt idx="7">
                  <c:v>45485</c:v>
                </c:pt>
                <c:pt idx="8">
                  <c:v>45486</c:v>
                </c:pt>
                <c:pt idx="9">
                  <c:v>45487</c:v>
                </c:pt>
                <c:pt idx="10">
                  <c:v>45488</c:v>
                </c:pt>
                <c:pt idx="11">
                  <c:v>45489</c:v>
                </c:pt>
                <c:pt idx="12">
                  <c:v>45490</c:v>
                </c:pt>
                <c:pt idx="13">
                  <c:v>45491</c:v>
                </c:pt>
                <c:pt idx="14">
                  <c:v>45492</c:v>
                </c:pt>
                <c:pt idx="15">
                  <c:v>45493</c:v>
                </c:pt>
                <c:pt idx="16">
                  <c:v>45494</c:v>
                </c:pt>
                <c:pt idx="17">
                  <c:v>45495</c:v>
                </c:pt>
                <c:pt idx="18">
                  <c:v>45496</c:v>
                </c:pt>
                <c:pt idx="19">
                  <c:v>45497</c:v>
                </c:pt>
                <c:pt idx="20">
                  <c:v>45498</c:v>
                </c:pt>
                <c:pt idx="21">
                  <c:v>45499</c:v>
                </c:pt>
                <c:pt idx="22">
                  <c:v>45500</c:v>
                </c:pt>
                <c:pt idx="23">
                  <c:v>45501</c:v>
                </c:pt>
                <c:pt idx="24">
                  <c:v>45502</c:v>
                </c:pt>
              </c:numCache>
            </c:numRef>
          </c:xVal>
          <c:yVal>
            <c:numRef>
              <c:f>'Fv Fm over time'!$B$8:$Z$8</c:f>
              <c:numCache>
                <c:formatCode>General</c:formatCode>
                <c:ptCount val="25"/>
                <c:pt idx="0">
                  <c:v>0.6416666666666665</c:v>
                </c:pt>
                <c:pt idx="1">
                  <c:v>0.63166666666666671</c:v>
                </c:pt>
                <c:pt idx="2">
                  <c:v>0.66833333333333333</c:v>
                </c:pt>
                <c:pt idx="3">
                  <c:v>0.63583333333333336</c:v>
                </c:pt>
                <c:pt idx="4">
                  <c:v>0.63916666666666666</c:v>
                </c:pt>
                <c:pt idx="5">
                  <c:v>0.58583333333333332</c:v>
                </c:pt>
                <c:pt idx="6">
                  <c:v>0.58750000000000002</c:v>
                </c:pt>
                <c:pt idx="7">
                  <c:v>0.61499999999999988</c:v>
                </c:pt>
                <c:pt idx="8">
                  <c:v>0.625</c:v>
                </c:pt>
                <c:pt idx="9">
                  <c:v>0.6283333333333333</c:v>
                </c:pt>
                <c:pt idx="10">
                  <c:v>0.63333333333333341</c:v>
                </c:pt>
                <c:pt idx="11">
                  <c:v>0.6366666666666666</c:v>
                </c:pt>
                <c:pt idx="12">
                  <c:v>0.62916666666666665</c:v>
                </c:pt>
                <c:pt idx="13">
                  <c:v>0.61583333333333334</c:v>
                </c:pt>
                <c:pt idx="14">
                  <c:v>0.60499999999999998</c:v>
                </c:pt>
                <c:pt idx="15">
                  <c:v>0.57750000000000001</c:v>
                </c:pt>
                <c:pt idx="16">
                  <c:v>0.58916666666666673</c:v>
                </c:pt>
                <c:pt idx="17">
                  <c:v>0.56416666666666671</c:v>
                </c:pt>
                <c:pt idx="18">
                  <c:v>0.52083333333333337</c:v>
                </c:pt>
                <c:pt idx="19">
                  <c:v>0.52416666666666656</c:v>
                </c:pt>
                <c:pt idx="20">
                  <c:v>0.47583333333333316</c:v>
                </c:pt>
                <c:pt idx="21">
                  <c:v>0.40916666666666668</c:v>
                </c:pt>
                <c:pt idx="22">
                  <c:v>0.42250000000000004</c:v>
                </c:pt>
                <c:pt idx="23">
                  <c:v>0.32666666666666666</c:v>
                </c:pt>
                <c:pt idx="24">
                  <c:v>0.29083333333333333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105-CF4B-87D6-02DC7A8E9C99}"/>
            </c:ext>
          </c:extLst>
        </c:ser>
        <c:ser>
          <c:idx val="5"/>
          <c:order val="5"/>
          <c:tx>
            <c:strRef>
              <c:f>'Fv Fm over time'!$A$9</c:f>
              <c:strCache>
                <c:ptCount val="1"/>
                <c:pt idx="0">
                  <c:v>Mn 30% Fv/Fm</c:v>
                </c:pt>
              </c:strCache>
            </c:strRef>
          </c:tx>
          <c:spPr>
            <a:ln w="19050" cap="rnd">
              <a:solidFill>
                <a:schemeClr val="accent2">
                  <a:lumMod val="20000"/>
                  <a:lumOff val="8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  <a:alpha val="45000"/>
                </a:schemeClr>
              </a:solidFill>
              <a:ln w="9525"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'Fv Fm over time'!$B$32:$Z$32</c:f>
                <c:numCache>
                  <c:formatCode>General</c:formatCode>
                  <c:ptCount val="25"/>
                  <c:pt idx="0">
                    <c:v>1.5429458247721526E-2</c:v>
                  </c:pt>
                  <c:pt idx="1">
                    <c:v>1.0000000000000009E-2</c:v>
                  </c:pt>
                  <c:pt idx="2">
                    <c:v>1.3333333333333334E-2</c:v>
                  </c:pt>
                  <c:pt idx="3">
                    <c:v>2.0743746775908557E-2</c:v>
                  </c:pt>
                  <c:pt idx="4">
                    <c:v>1.2958753525292974E-2</c:v>
                  </c:pt>
                  <c:pt idx="5">
                    <c:v>1.3734495390671026E-2</c:v>
                  </c:pt>
                  <c:pt idx="6">
                    <c:v>1.7941754809844151E-2</c:v>
                  </c:pt>
                  <c:pt idx="7">
                    <c:v>1.0009465217452631E-2</c:v>
                  </c:pt>
                  <c:pt idx="8">
                    <c:v>1.2811768579763454E-2</c:v>
                  </c:pt>
                  <c:pt idx="9">
                    <c:v>1.2958753525292971E-2</c:v>
                  </c:pt>
                  <c:pt idx="10">
                    <c:v>5.5219945891339202E-3</c:v>
                  </c:pt>
                  <c:pt idx="11">
                    <c:v>7.8937067376870645E-3</c:v>
                  </c:pt>
                  <c:pt idx="12">
                    <c:v>4.6804450276192438E-3</c:v>
                  </c:pt>
                  <c:pt idx="13">
                    <c:v>9.3608900552384806E-3</c:v>
                  </c:pt>
                  <c:pt idx="14">
                    <c:v>5.3654336998866037E-3</c:v>
                  </c:pt>
                  <c:pt idx="15">
                    <c:v>8.8620174641756092E-3</c:v>
                  </c:pt>
                  <c:pt idx="16">
                    <c:v>1.2370541743606177E-2</c:v>
                  </c:pt>
                  <c:pt idx="17">
                    <c:v>1.2522706649050825E-2</c:v>
                  </c:pt>
                  <c:pt idx="18">
                    <c:v>2.5568041525990067E-2</c:v>
                  </c:pt>
                  <c:pt idx="19">
                    <c:v>3.6635661822488286E-2</c:v>
                  </c:pt>
                  <c:pt idx="20">
                    <c:v>4.9514690198511298E-2</c:v>
                  </c:pt>
                  <c:pt idx="21">
                    <c:v>5.170575256666169E-2</c:v>
                  </c:pt>
                  <c:pt idx="22">
                    <c:v>4.9915964734276452E-2</c:v>
                  </c:pt>
                  <c:pt idx="23">
                    <c:v>4.2720018726587684E-2</c:v>
                  </c:pt>
                  <c:pt idx="24">
                    <c:v>4.6384427898974352E-2</c:v>
                  </c:pt>
                </c:numCache>
              </c:numRef>
            </c:plus>
            <c:minus>
              <c:numRef>
                <c:f>'Fv Fm over time'!$B$32:$Z$32</c:f>
                <c:numCache>
                  <c:formatCode>General</c:formatCode>
                  <c:ptCount val="25"/>
                  <c:pt idx="0">
                    <c:v>1.5429458247721526E-2</c:v>
                  </c:pt>
                  <c:pt idx="1">
                    <c:v>1.0000000000000009E-2</c:v>
                  </c:pt>
                  <c:pt idx="2">
                    <c:v>1.3333333333333334E-2</c:v>
                  </c:pt>
                  <c:pt idx="3">
                    <c:v>2.0743746775908557E-2</c:v>
                  </c:pt>
                  <c:pt idx="4">
                    <c:v>1.2958753525292974E-2</c:v>
                  </c:pt>
                  <c:pt idx="5">
                    <c:v>1.3734495390671026E-2</c:v>
                  </c:pt>
                  <c:pt idx="6">
                    <c:v>1.7941754809844151E-2</c:v>
                  </c:pt>
                  <c:pt idx="7">
                    <c:v>1.0009465217452631E-2</c:v>
                  </c:pt>
                  <c:pt idx="8">
                    <c:v>1.2811768579763454E-2</c:v>
                  </c:pt>
                  <c:pt idx="9">
                    <c:v>1.2958753525292971E-2</c:v>
                  </c:pt>
                  <c:pt idx="10">
                    <c:v>5.5219945891339202E-3</c:v>
                  </c:pt>
                  <c:pt idx="11">
                    <c:v>7.8937067376870645E-3</c:v>
                  </c:pt>
                  <c:pt idx="12">
                    <c:v>4.6804450276192438E-3</c:v>
                  </c:pt>
                  <c:pt idx="13">
                    <c:v>9.3608900552384806E-3</c:v>
                  </c:pt>
                  <c:pt idx="14">
                    <c:v>5.3654336998866037E-3</c:v>
                  </c:pt>
                  <c:pt idx="15">
                    <c:v>8.8620174641756092E-3</c:v>
                  </c:pt>
                  <c:pt idx="16">
                    <c:v>1.2370541743606177E-2</c:v>
                  </c:pt>
                  <c:pt idx="17">
                    <c:v>1.2522706649050825E-2</c:v>
                  </c:pt>
                  <c:pt idx="18">
                    <c:v>2.5568041525990067E-2</c:v>
                  </c:pt>
                  <c:pt idx="19">
                    <c:v>3.6635661822488286E-2</c:v>
                  </c:pt>
                  <c:pt idx="20">
                    <c:v>4.9514690198511298E-2</c:v>
                  </c:pt>
                  <c:pt idx="21">
                    <c:v>5.170575256666169E-2</c:v>
                  </c:pt>
                  <c:pt idx="22">
                    <c:v>4.9915964734276452E-2</c:v>
                  </c:pt>
                  <c:pt idx="23">
                    <c:v>4.2720018726587684E-2</c:v>
                  </c:pt>
                  <c:pt idx="24">
                    <c:v>4.6384427898974352E-2</c:v>
                  </c:pt>
                </c:numCache>
              </c:numRef>
            </c:minus>
            <c:spPr>
              <a:noFill/>
              <a:ln w="6350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'Fv Fm over time'!$B$3:$Z$3</c:f>
              <c:numCache>
                <c:formatCode>m/d/yy</c:formatCode>
                <c:ptCount val="25"/>
                <c:pt idx="0">
                  <c:v>45478</c:v>
                </c:pt>
                <c:pt idx="1">
                  <c:v>45479</c:v>
                </c:pt>
                <c:pt idx="2">
                  <c:v>45480</c:v>
                </c:pt>
                <c:pt idx="3">
                  <c:v>45481</c:v>
                </c:pt>
                <c:pt idx="4">
                  <c:v>45482</c:v>
                </c:pt>
                <c:pt idx="5">
                  <c:v>45483</c:v>
                </c:pt>
                <c:pt idx="6">
                  <c:v>45484</c:v>
                </c:pt>
                <c:pt idx="7">
                  <c:v>45485</c:v>
                </c:pt>
                <c:pt idx="8">
                  <c:v>45486</c:v>
                </c:pt>
                <c:pt idx="9">
                  <c:v>45487</c:v>
                </c:pt>
                <c:pt idx="10">
                  <c:v>45488</c:v>
                </c:pt>
                <c:pt idx="11">
                  <c:v>45489</c:v>
                </c:pt>
                <c:pt idx="12">
                  <c:v>45490</c:v>
                </c:pt>
                <c:pt idx="13">
                  <c:v>45491</c:v>
                </c:pt>
                <c:pt idx="14">
                  <c:v>45492</c:v>
                </c:pt>
                <c:pt idx="15">
                  <c:v>45493</c:v>
                </c:pt>
                <c:pt idx="16">
                  <c:v>45494</c:v>
                </c:pt>
                <c:pt idx="17">
                  <c:v>45495</c:v>
                </c:pt>
                <c:pt idx="18">
                  <c:v>45496</c:v>
                </c:pt>
                <c:pt idx="19">
                  <c:v>45497</c:v>
                </c:pt>
                <c:pt idx="20">
                  <c:v>45498</c:v>
                </c:pt>
                <c:pt idx="21">
                  <c:v>45499</c:v>
                </c:pt>
                <c:pt idx="22">
                  <c:v>45500</c:v>
                </c:pt>
                <c:pt idx="23">
                  <c:v>45501</c:v>
                </c:pt>
                <c:pt idx="24">
                  <c:v>45502</c:v>
                </c:pt>
              </c:numCache>
            </c:numRef>
          </c:xVal>
          <c:yVal>
            <c:numRef>
              <c:f>'Fv Fm over time'!$B$9:$Z$9</c:f>
              <c:numCache>
                <c:formatCode>General</c:formatCode>
                <c:ptCount val="25"/>
                <c:pt idx="0">
                  <c:v>0.62250000000000005</c:v>
                </c:pt>
                <c:pt idx="1">
                  <c:v>0.65</c:v>
                </c:pt>
                <c:pt idx="2">
                  <c:v>0.64333333333333331</c:v>
                </c:pt>
                <c:pt idx="3">
                  <c:v>0.67</c:v>
                </c:pt>
                <c:pt idx="4">
                  <c:v>0.64166666666666672</c:v>
                </c:pt>
                <c:pt idx="5">
                  <c:v>0.59500000000000008</c:v>
                </c:pt>
                <c:pt idx="6">
                  <c:v>0.64916666666666678</c:v>
                </c:pt>
                <c:pt idx="7">
                  <c:v>0.62249999999999994</c:v>
                </c:pt>
                <c:pt idx="8">
                  <c:v>0.64333333333333342</c:v>
                </c:pt>
                <c:pt idx="9">
                  <c:v>0.60833333333333328</c:v>
                </c:pt>
                <c:pt idx="10">
                  <c:v>0.64749999999999996</c:v>
                </c:pt>
                <c:pt idx="11">
                  <c:v>0.60749999999999993</c:v>
                </c:pt>
                <c:pt idx="12">
                  <c:v>0.63583333333333336</c:v>
                </c:pt>
                <c:pt idx="13">
                  <c:v>0.61166666666666669</c:v>
                </c:pt>
                <c:pt idx="14">
                  <c:v>0.62</c:v>
                </c:pt>
                <c:pt idx="15">
                  <c:v>0.59833333333333338</c:v>
                </c:pt>
                <c:pt idx="16">
                  <c:v>0.57818181818181824</c:v>
                </c:pt>
                <c:pt idx="17">
                  <c:v>0.54500000000000004</c:v>
                </c:pt>
                <c:pt idx="18">
                  <c:v>0.49416666666666664</c:v>
                </c:pt>
                <c:pt idx="19">
                  <c:v>0.46166666666666661</c:v>
                </c:pt>
                <c:pt idx="20">
                  <c:v>0.3924999999999999</c:v>
                </c:pt>
                <c:pt idx="21">
                  <c:v>0.41500000000000004</c:v>
                </c:pt>
                <c:pt idx="22">
                  <c:v>0.41083333333333338</c:v>
                </c:pt>
                <c:pt idx="23">
                  <c:v>0.42499999999999999</c:v>
                </c:pt>
                <c:pt idx="24">
                  <c:v>0.34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105-CF4B-87D6-02DC7A8E9C99}"/>
            </c:ext>
          </c:extLst>
        </c:ser>
        <c:ser>
          <c:idx val="6"/>
          <c:order val="6"/>
          <c:tx>
            <c:strRef>
              <c:f>'Fv Fm over time'!$A$10</c:f>
              <c:strCache>
                <c:ptCount val="1"/>
                <c:pt idx="0">
                  <c:v>Mn Pulsed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  <a:alpha val="4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  <a:alpha val="41000"/>
                </a:schemeClr>
              </a:solidFill>
              <a:ln w="9525">
                <a:solidFill>
                  <a:schemeClr val="accent5">
                    <a:lumMod val="60000"/>
                    <a:lumOff val="40000"/>
                    <a:alpha val="46000"/>
                  </a:schemeClr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'Fv Fm over time'!$B$33:$Z$33</c:f>
                <c:numCache>
                  <c:formatCode>General</c:formatCode>
                  <c:ptCount val="25"/>
                  <c:pt idx="0">
                    <c:v>1.2663077641455706E-2</c:v>
                  </c:pt>
                  <c:pt idx="1">
                    <c:v>1.8579613026164465E-2</c:v>
                  </c:pt>
                  <c:pt idx="2">
                    <c:v>2.1526352184795414E-2</c:v>
                  </c:pt>
                  <c:pt idx="3">
                    <c:v>2.1567371540165046E-2</c:v>
                  </c:pt>
                  <c:pt idx="4">
                    <c:v>2.654684253324429E-2</c:v>
                  </c:pt>
                  <c:pt idx="5">
                    <c:v>2.0564937798755196E-2</c:v>
                  </c:pt>
                  <c:pt idx="6">
                    <c:v>1.4685249935107189E-2</c:v>
                  </c:pt>
                  <c:pt idx="7">
                    <c:v>8.3786645834536336E-3</c:v>
                  </c:pt>
                  <c:pt idx="8">
                    <c:v>1.1835893875765528E-2</c:v>
                  </c:pt>
                  <c:pt idx="9">
                    <c:v>1.0763176092397624E-2</c:v>
                  </c:pt>
                  <c:pt idx="10">
                    <c:v>1.1899728373098913E-2</c:v>
                  </c:pt>
                  <c:pt idx="11">
                    <c:v>9.3304919917483898E-3</c:v>
                  </c:pt>
                  <c:pt idx="12">
                    <c:v>9.7279925156138237E-3</c:v>
                  </c:pt>
                  <c:pt idx="13">
                    <c:v>1.0588730430094633E-2</c:v>
                  </c:pt>
                  <c:pt idx="14">
                    <c:v>5.143152749240514E-3</c:v>
                  </c:pt>
                  <c:pt idx="15">
                    <c:v>7.8173595997057133E-3</c:v>
                  </c:pt>
                  <c:pt idx="16">
                    <c:v>1.0468808890984662E-2</c:v>
                  </c:pt>
                  <c:pt idx="17">
                    <c:v>7.4366007223078878E-3</c:v>
                  </c:pt>
                  <c:pt idx="18">
                    <c:v>1.6474268273629696E-2</c:v>
                  </c:pt>
                  <c:pt idx="19">
                    <c:v>2.3088542788162452E-2</c:v>
                  </c:pt>
                  <c:pt idx="20">
                    <c:v>3.1869367198872255E-2</c:v>
                  </c:pt>
                  <c:pt idx="21">
                    <c:v>4.1860156799428318E-2</c:v>
                  </c:pt>
                  <c:pt idx="22">
                    <c:v>3.8108696215860327E-2</c:v>
                  </c:pt>
                  <c:pt idx="23">
                    <c:v>5.3267478281069827E-2</c:v>
                  </c:pt>
                  <c:pt idx="24">
                    <c:v>5.7693022528593936E-2</c:v>
                  </c:pt>
                </c:numCache>
              </c:numRef>
            </c:plus>
            <c:minus>
              <c:numRef>
                <c:f>'Fv Fm over time'!$Z$33</c:f>
                <c:numCache>
                  <c:formatCode>General</c:formatCode>
                  <c:ptCount val="1"/>
                  <c:pt idx="0">
                    <c:v>5.7693022528593936E-2</c:v>
                  </c:pt>
                </c:numCache>
              </c:numRef>
            </c:minus>
            <c:spPr>
              <a:noFill/>
              <a:ln w="6350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'Fv Fm over time'!$B$3:$Z$3</c:f>
              <c:numCache>
                <c:formatCode>m/d/yy</c:formatCode>
                <c:ptCount val="25"/>
                <c:pt idx="0">
                  <c:v>45478</c:v>
                </c:pt>
                <c:pt idx="1">
                  <c:v>45479</c:v>
                </c:pt>
                <c:pt idx="2">
                  <c:v>45480</c:v>
                </c:pt>
                <c:pt idx="3">
                  <c:v>45481</c:v>
                </c:pt>
                <c:pt idx="4">
                  <c:v>45482</c:v>
                </c:pt>
                <c:pt idx="5">
                  <c:v>45483</c:v>
                </c:pt>
                <c:pt idx="6">
                  <c:v>45484</c:v>
                </c:pt>
                <c:pt idx="7">
                  <c:v>45485</c:v>
                </c:pt>
                <c:pt idx="8">
                  <c:v>45486</c:v>
                </c:pt>
                <c:pt idx="9">
                  <c:v>45487</c:v>
                </c:pt>
                <c:pt idx="10">
                  <c:v>45488</c:v>
                </c:pt>
                <c:pt idx="11">
                  <c:v>45489</c:v>
                </c:pt>
                <c:pt idx="12">
                  <c:v>45490</c:v>
                </c:pt>
                <c:pt idx="13">
                  <c:v>45491</c:v>
                </c:pt>
                <c:pt idx="14">
                  <c:v>45492</c:v>
                </c:pt>
                <c:pt idx="15">
                  <c:v>45493</c:v>
                </c:pt>
                <c:pt idx="16">
                  <c:v>45494</c:v>
                </c:pt>
                <c:pt idx="17">
                  <c:v>45495</c:v>
                </c:pt>
                <c:pt idx="18">
                  <c:v>45496</c:v>
                </c:pt>
                <c:pt idx="19">
                  <c:v>45497</c:v>
                </c:pt>
                <c:pt idx="20">
                  <c:v>45498</c:v>
                </c:pt>
                <c:pt idx="21">
                  <c:v>45499</c:v>
                </c:pt>
                <c:pt idx="22">
                  <c:v>45500</c:v>
                </c:pt>
                <c:pt idx="23">
                  <c:v>45501</c:v>
                </c:pt>
                <c:pt idx="24">
                  <c:v>45502</c:v>
                </c:pt>
              </c:numCache>
            </c:numRef>
          </c:xVal>
          <c:yVal>
            <c:numRef>
              <c:f>'Fv Fm over time'!$B$10:$Z$10</c:f>
              <c:numCache>
                <c:formatCode>General</c:formatCode>
                <c:ptCount val="25"/>
                <c:pt idx="0">
                  <c:v>0.67166666666666652</c:v>
                </c:pt>
                <c:pt idx="1">
                  <c:v>0.64166666666666661</c:v>
                </c:pt>
                <c:pt idx="2">
                  <c:v>0.65166666666666673</c:v>
                </c:pt>
                <c:pt idx="3">
                  <c:v>0.64</c:v>
                </c:pt>
                <c:pt idx="4">
                  <c:v>0.62249999999999994</c:v>
                </c:pt>
                <c:pt idx="5">
                  <c:v>0.60750000000000004</c:v>
                </c:pt>
                <c:pt idx="6">
                  <c:v>0.59666666666666668</c:v>
                </c:pt>
                <c:pt idx="7">
                  <c:v>0.60666666666666658</c:v>
                </c:pt>
                <c:pt idx="8">
                  <c:v>0.63083333333333336</c:v>
                </c:pt>
                <c:pt idx="9">
                  <c:v>0.62083333333333324</c:v>
                </c:pt>
                <c:pt idx="10">
                  <c:v>0.61916666666666664</c:v>
                </c:pt>
                <c:pt idx="11">
                  <c:v>0.61916666666666675</c:v>
                </c:pt>
                <c:pt idx="12">
                  <c:v>0.61583333333333334</c:v>
                </c:pt>
                <c:pt idx="13">
                  <c:v>0.6</c:v>
                </c:pt>
                <c:pt idx="14">
                  <c:v>0.60583333333333322</c:v>
                </c:pt>
                <c:pt idx="15">
                  <c:v>0.58666666666666667</c:v>
                </c:pt>
                <c:pt idx="16">
                  <c:v>0.58333333333333337</c:v>
                </c:pt>
                <c:pt idx="17">
                  <c:v>0.55500000000000005</c:v>
                </c:pt>
                <c:pt idx="18">
                  <c:v>0.52249999999999985</c:v>
                </c:pt>
                <c:pt idx="19">
                  <c:v>0.52166666666666661</c:v>
                </c:pt>
                <c:pt idx="20">
                  <c:v>0.49666666666666676</c:v>
                </c:pt>
                <c:pt idx="21">
                  <c:v>0.46500000000000002</c:v>
                </c:pt>
                <c:pt idx="22">
                  <c:v>0.45500000000000002</c:v>
                </c:pt>
                <c:pt idx="23">
                  <c:v>0.39909090909090905</c:v>
                </c:pt>
                <c:pt idx="24">
                  <c:v>0.40727272727272729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105-CF4B-87D6-02DC7A8E9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1351040"/>
        <c:axId val="1102075744"/>
      </c:scatterChart>
      <c:valAx>
        <c:axId val="1101351040"/>
        <c:scaling>
          <c:orientation val="minMax"/>
          <c:max val="45503"/>
          <c:min val="4547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075744"/>
        <c:crosses val="autoZero"/>
        <c:crossBetween val="midCat"/>
      </c:valAx>
      <c:valAx>
        <c:axId val="11020757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35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'Water Quality'!$A$21</c:f>
              <c:strCache>
                <c:ptCount val="1"/>
                <c:pt idx="0">
                  <c:v>T1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Quality'!$B$21:$Z$21</c:f>
              <c:numCache>
                <c:formatCode>General</c:formatCode>
                <c:ptCount val="25"/>
                <c:pt idx="0">
                  <c:v>27</c:v>
                </c:pt>
                <c:pt idx="1">
                  <c:v>26.8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26.6</c:v>
                </c:pt>
                <c:pt idx="6">
                  <c:v>26.7</c:v>
                </c:pt>
                <c:pt idx="7">
                  <c:v>26.7</c:v>
                </c:pt>
                <c:pt idx="8">
                  <c:v>27</c:v>
                </c:pt>
                <c:pt idx="9">
                  <c:v>26.7</c:v>
                </c:pt>
                <c:pt idx="10">
                  <c:v>26.7</c:v>
                </c:pt>
                <c:pt idx="11">
                  <c:v>27.2</c:v>
                </c:pt>
                <c:pt idx="12">
                  <c:v>26.9</c:v>
                </c:pt>
                <c:pt idx="13">
                  <c:v>26.7</c:v>
                </c:pt>
                <c:pt idx="14">
                  <c:v>26.7</c:v>
                </c:pt>
                <c:pt idx="15">
                  <c:v>26.9</c:v>
                </c:pt>
                <c:pt idx="16">
                  <c:v>26.8</c:v>
                </c:pt>
                <c:pt idx="17">
                  <c:v>26.9</c:v>
                </c:pt>
                <c:pt idx="18">
                  <c:v>26.8</c:v>
                </c:pt>
                <c:pt idx="19">
                  <c:v>27</c:v>
                </c:pt>
                <c:pt idx="20">
                  <c:v>26.9</c:v>
                </c:pt>
                <c:pt idx="21">
                  <c:v>26.8</c:v>
                </c:pt>
                <c:pt idx="22">
                  <c:v>26.9</c:v>
                </c:pt>
                <c:pt idx="23">
                  <c:v>27.2</c:v>
                </c:pt>
                <c:pt idx="24">
                  <c:v>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ED-E549-8A53-941E8920706F}"/>
            </c:ext>
          </c:extLst>
        </c:ser>
        <c:ser>
          <c:idx val="1"/>
          <c:order val="1"/>
          <c:tx>
            <c:strRef>
              <c:f>'Water Quality'!$A$22</c:f>
              <c:strCache>
                <c:ptCount val="1"/>
                <c:pt idx="0">
                  <c:v>T2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Quality'!$B$22:$Z$22</c:f>
              <c:numCache>
                <c:formatCode>General</c:formatCode>
                <c:ptCount val="25"/>
                <c:pt idx="0">
                  <c:v>27</c:v>
                </c:pt>
                <c:pt idx="1">
                  <c:v>26.8</c:v>
                </c:pt>
                <c:pt idx="2">
                  <c:v>26.8</c:v>
                </c:pt>
                <c:pt idx="3">
                  <c:v>26.9</c:v>
                </c:pt>
                <c:pt idx="4">
                  <c:v>26.8</c:v>
                </c:pt>
                <c:pt idx="5">
                  <c:v>26.6</c:v>
                </c:pt>
                <c:pt idx="6">
                  <c:v>26.9</c:v>
                </c:pt>
                <c:pt idx="7">
                  <c:v>26.9</c:v>
                </c:pt>
                <c:pt idx="8">
                  <c:v>27</c:v>
                </c:pt>
                <c:pt idx="9">
                  <c:v>26.8</c:v>
                </c:pt>
                <c:pt idx="10">
                  <c:v>26.7</c:v>
                </c:pt>
                <c:pt idx="11">
                  <c:v>27</c:v>
                </c:pt>
                <c:pt idx="12">
                  <c:v>26.8</c:v>
                </c:pt>
                <c:pt idx="13">
                  <c:v>26.9</c:v>
                </c:pt>
                <c:pt idx="14">
                  <c:v>26.9</c:v>
                </c:pt>
                <c:pt idx="15">
                  <c:v>27</c:v>
                </c:pt>
                <c:pt idx="16">
                  <c:v>26.9</c:v>
                </c:pt>
                <c:pt idx="17">
                  <c:v>26.8</c:v>
                </c:pt>
                <c:pt idx="18">
                  <c:v>26.9</c:v>
                </c:pt>
                <c:pt idx="19">
                  <c:v>26.8</c:v>
                </c:pt>
                <c:pt idx="20">
                  <c:v>26.7</c:v>
                </c:pt>
                <c:pt idx="21">
                  <c:v>26.8</c:v>
                </c:pt>
                <c:pt idx="22">
                  <c:v>27</c:v>
                </c:pt>
                <c:pt idx="23">
                  <c:v>27.1</c:v>
                </c:pt>
                <c:pt idx="24">
                  <c:v>26.8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ED-E549-8A53-941E8920706F}"/>
            </c:ext>
          </c:extLst>
        </c:ser>
        <c:ser>
          <c:idx val="2"/>
          <c:order val="2"/>
          <c:tx>
            <c:strRef>
              <c:f>'Water Quality'!$A$23</c:f>
              <c:strCache>
                <c:ptCount val="1"/>
                <c:pt idx="0">
                  <c:v>T3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Quality'!$B$23:$Z$23</c:f>
              <c:numCache>
                <c:formatCode>General</c:formatCode>
                <c:ptCount val="25"/>
                <c:pt idx="0">
                  <c:v>26.7</c:v>
                </c:pt>
                <c:pt idx="1">
                  <c:v>26.5</c:v>
                </c:pt>
                <c:pt idx="2">
                  <c:v>26.6</c:v>
                </c:pt>
                <c:pt idx="3">
                  <c:v>26.7</c:v>
                </c:pt>
                <c:pt idx="4">
                  <c:v>26.7</c:v>
                </c:pt>
                <c:pt idx="5">
                  <c:v>26.8</c:v>
                </c:pt>
                <c:pt idx="6">
                  <c:v>26.6</c:v>
                </c:pt>
                <c:pt idx="7">
                  <c:v>26.6</c:v>
                </c:pt>
                <c:pt idx="8">
                  <c:v>27.2</c:v>
                </c:pt>
                <c:pt idx="9">
                  <c:v>27.6</c:v>
                </c:pt>
                <c:pt idx="10">
                  <c:v>28.1</c:v>
                </c:pt>
                <c:pt idx="11">
                  <c:v>28.8</c:v>
                </c:pt>
                <c:pt idx="12">
                  <c:v>29.2</c:v>
                </c:pt>
                <c:pt idx="13">
                  <c:v>29.7</c:v>
                </c:pt>
                <c:pt idx="14">
                  <c:v>30.2</c:v>
                </c:pt>
                <c:pt idx="15">
                  <c:v>30.7</c:v>
                </c:pt>
                <c:pt idx="16">
                  <c:v>31.3</c:v>
                </c:pt>
                <c:pt idx="17">
                  <c:v>31.7</c:v>
                </c:pt>
                <c:pt idx="18">
                  <c:v>31.8</c:v>
                </c:pt>
                <c:pt idx="19">
                  <c:v>31.9</c:v>
                </c:pt>
                <c:pt idx="20">
                  <c:v>31.8</c:v>
                </c:pt>
                <c:pt idx="21">
                  <c:v>31.9</c:v>
                </c:pt>
                <c:pt idx="22">
                  <c:v>31.9</c:v>
                </c:pt>
                <c:pt idx="23">
                  <c:v>31.9</c:v>
                </c:pt>
                <c:pt idx="24">
                  <c:v>31.9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ED-E549-8A53-941E8920706F}"/>
            </c:ext>
          </c:extLst>
        </c:ser>
        <c:ser>
          <c:idx val="3"/>
          <c:order val="3"/>
          <c:tx>
            <c:strRef>
              <c:f>'Water Quality'!$A$24</c:f>
              <c:strCache>
                <c:ptCount val="1"/>
                <c:pt idx="0">
                  <c:v>T4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Quality'!$B$24:$Z$24</c:f>
              <c:numCache>
                <c:formatCode>General</c:formatCode>
                <c:ptCount val="25"/>
                <c:pt idx="1">
                  <c:v>26.6</c:v>
                </c:pt>
                <c:pt idx="2">
                  <c:v>26.9</c:v>
                </c:pt>
                <c:pt idx="3">
                  <c:v>26.8</c:v>
                </c:pt>
                <c:pt idx="4">
                  <c:v>26.5</c:v>
                </c:pt>
                <c:pt idx="5">
                  <c:v>26.7</c:v>
                </c:pt>
                <c:pt idx="6">
                  <c:v>26.7</c:v>
                </c:pt>
                <c:pt idx="7">
                  <c:v>26.7</c:v>
                </c:pt>
                <c:pt idx="8">
                  <c:v>27.4</c:v>
                </c:pt>
                <c:pt idx="9">
                  <c:v>28</c:v>
                </c:pt>
                <c:pt idx="10">
                  <c:v>28.4</c:v>
                </c:pt>
                <c:pt idx="11">
                  <c:v>28.8</c:v>
                </c:pt>
                <c:pt idx="12">
                  <c:v>29.3</c:v>
                </c:pt>
                <c:pt idx="13">
                  <c:v>30</c:v>
                </c:pt>
                <c:pt idx="14">
                  <c:v>30.5</c:v>
                </c:pt>
                <c:pt idx="15">
                  <c:v>31</c:v>
                </c:pt>
                <c:pt idx="16">
                  <c:v>31.3</c:v>
                </c:pt>
                <c:pt idx="17">
                  <c:v>31.7</c:v>
                </c:pt>
                <c:pt idx="18">
                  <c:v>31.7</c:v>
                </c:pt>
                <c:pt idx="19">
                  <c:v>31.7</c:v>
                </c:pt>
                <c:pt idx="20">
                  <c:v>31.8</c:v>
                </c:pt>
                <c:pt idx="21">
                  <c:v>31.7</c:v>
                </c:pt>
                <c:pt idx="22">
                  <c:v>31.9</c:v>
                </c:pt>
                <c:pt idx="23">
                  <c:v>31.7</c:v>
                </c:pt>
                <c:pt idx="24">
                  <c:v>31.7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ED-E549-8A53-941E8920706F}"/>
            </c:ext>
          </c:extLst>
        </c:ser>
        <c:ser>
          <c:idx val="4"/>
          <c:order val="4"/>
          <c:tx>
            <c:strRef>
              <c:f>'Water Quality'!$A$25</c:f>
              <c:strCache>
                <c:ptCount val="1"/>
                <c:pt idx="0">
                  <c:v>T5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Quality'!$B$25:$Z$25</c:f>
              <c:numCache>
                <c:formatCode>General</c:formatCode>
                <c:ptCount val="25"/>
                <c:pt idx="0">
                  <c:v>26.9</c:v>
                </c:pt>
                <c:pt idx="1">
                  <c:v>26.8</c:v>
                </c:pt>
                <c:pt idx="2">
                  <c:v>26.8</c:v>
                </c:pt>
                <c:pt idx="3">
                  <c:v>26.8</c:v>
                </c:pt>
                <c:pt idx="4">
                  <c:v>26.9</c:v>
                </c:pt>
                <c:pt idx="5">
                  <c:v>26.7</c:v>
                </c:pt>
                <c:pt idx="6">
                  <c:v>26.7</c:v>
                </c:pt>
                <c:pt idx="7">
                  <c:v>26.8</c:v>
                </c:pt>
                <c:pt idx="8">
                  <c:v>26.8</c:v>
                </c:pt>
                <c:pt idx="9">
                  <c:v>26.8</c:v>
                </c:pt>
                <c:pt idx="10">
                  <c:v>26.8</c:v>
                </c:pt>
                <c:pt idx="11">
                  <c:v>27</c:v>
                </c:pt>
                <c:pt idx="12">
                  <c:v>26.8</c:v>
                </c:pt>
                <c:pt idx="13">
                  <c:v>26.8</c:v>
                </c:pt>
                <c:pt idx="14">
                  <c:v>27</c:v>
                </c:pt>
                <c:pt idx="15">
                  <c:v>27</c:v>
                </c:pt>
                <c:pt idx="16">
                  <c:v>26.9</c:v>
                </c:pt>
                <c:pt idx="17">
                  <c:v>27.1</c:v>
                </c:pt>
                <c:pt idx="18">
                  <c:v>27</c:v>
                </c:pt>
                <c:pt idx="19">
                  <c:v>26.8</c:v>
                </c:pt>
                <c:pt idx="20">
                  <c:v>27</c:v>
                </c:pt>
                <c:pt idx="21">
                  <c:v>26.9</c:v>
                </c:pt>
                <c:pt idx="22">
                  <c:v>27</c:v>
                </c:pt>
                <c:pt idx="23">
                  <c:v>27.1</c:v>
                </c:pt>
                <c:pt idx="24">
                  <c:v>27.2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ED-E549-8A53-941E8920706F}"/>
            </c:ext>
          </c:extLst>
        </c:ser>
        <c:ser>
          <c:idx val="5"/>
          <c:order val="5"/>
          <c:tx>
            <c:strRef>
              <c:f>'Water Quality'!$A$26</c:f>
              <c:strCache>
                <c:ptCount val="1"/>
                <c:pt idx="0">
                  <c:v>T6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Quality'!$B$26:$Z$26</c:f>
              <c:numCache>
                <c:formatCode>General</c:formatCode>
                <c:ptCount val="25"/>
                <c:pt idx="1">
                  <c:v>26.8</c:v>
                </c:pt>
                <c:pt idx="2">
                  <c:v>26.7</c:v>
                </c:pt>
                <c:pt idx="3">
                  <c:v>26.8</c:v>
                </c:pt>
                <c:pt idx="4">
                  <c:v>26.8</c:v>
                </c:pt>
                <c:pt idx="5">
                  <c:v>26.7</c:v>
                </c:pt>
                <c:pt idx="6">
                  <c:v>26.7</c:v>
                </c:pt>
                <c:pt idx="7">
                  <c:v>26.6</c:v>
                </c:pt>
                <c:pt idx="8">
                  <c:v>26.7</c:v>
                </c:pt>
                <c:pt idx="9">
                  <c:v>26.7</c:v>
                </c:pt>
                <c:pt idx="10">
                  <c:v>26.7</c:v>
                </c:pt>
                <c:pt idx="11">
                  <c:v>26.8</c:v>
                </c:pt>
                <c:pt idx="12">
                  <c:v>26.7</c:v>
                </c:pt>
                <c:pt idx="13">
                  <c:v>26.8</c:v>
                </c:pt>
                <c:pt idx="14">
                  <c:v>26.8</c:v>
                </c:pt>
                <c:pt idx="15">
                  <c:v>26.9</c:v>
                </c:pt>
                <c:pt idx="16">
                  <c:v>26.9</c:v>
                </c:pt>
                <c:pt idx="17">
                  <c:v>26.8</c:v>
                </c:pt>
                <c:pt idx="18">
                  <c:v>26.9</c:v>
                </c:pt>
                <c:pt idx="19">
                  <c:v>26.8</c:v>
                </c:pt>
                <c:pt idx="20">
                  <c:v>26.8</c:v>
                </c:pt>
                <c:pt idx="21">
                  <c:v>26.7</c:v>
                </c:pt>
                <c:pt idx="22">
                  <c:v>26.9</c:v>
                </c:pt>
                <c:pt idx="23">
                  <c:v>26.9</c:v>
                </c:pt>
                <c:pt idx="24">
                  <c:v>27.1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ED-E549-8A53-941E8920706F}"/>
            </c:ext>
          </c:extLst>
        </c:ser>
        <c:ser>
          <c:idx val="6"/>
          <c:order val="6"/>
          <c:tx>
            <c:strRef>
              <c:f>'Water Quality'!$A$27</c:f>
              <c:strCache>
                <c:ptCount val="1"/>
                <c:pt idx="0">
                  <c:v>T7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Quality'!$B$27:$Z$27</c:f>
              <c:numCache>
                <c:formatCode>General</c:formatCode>
                <c:ptCount val="25"/>
                <c:pt idx="0">
                  <c:v>28.1</c:v>
                </c:pt>
                <c:pt idx="1">
                  <c:v>27</c:v>
                </c:pt>
                <c:pt idx="2">
                  <c:v>26.9</c:v>
                </c:pt>
                <c:pt idx="3">
                  <c:v>27</c:v>
                </c:pt>
                <c:pt idx="4">
                  <c:v>26.9</c:v>
                </c:pt>
                <c:pt idx="5">
                  <c:v>26.7</c:v>
                </c:pt>
                <c:pt idx="6">
                  <c:v>26.8</c:v>
                </c:pt>
                <c:pt idx="7">
                  <c:v>26.7</c:v>
                </c:pt>
                <c:pt idx="8">
                  <c:v>27.2</c:v>
                </c:pt>
                <c:pt idx="9">
                  <c:v>27.7</c:v>
                </c:pt>
                <c:pt idx="10">
                  <c:v>28.2</c:v>
                </c:pt>
                <c:pt idx="11">
                  <c:v>28.9</c:v>
                </c:pt>
                <c:pt idx="12">
                  <c:v>29.3</c:v>
                </c:pt>
                <c:pt idx="13">
                  <c:v>29.9</c:v>
                </c:pt>
                <c:pt idx="14">
                  <c:v>30.3</c:v>
                </c:pt>
                <c:pt idx="15">
                  <c:v>30.8</c:v>
                </c:pt>
                <c:pt idx="16">
                  <c:v>31.4</c:v>
                </c:pt>
                <c:pt idx="17">
                  <c:v>31.8</c:v>
                </c:pt>
                <c:pt idx="18">
                  <c:v>31.8</c:v>
                </c:pt>
                <c:pt idx="19">
                  <c:v>31.8</c:v>
                </c:pt>
                <c:pt idx="20">
                  <c:v>31.8</c:v>
                </c:pt>
                <c:pt idx="21">
                  <c:v>31.9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ED-E549-8A53-941E8920706F}"/>
            </c:ext>
          </c:extLst>
        </c:ser>
        <c:ser>
          <c:idx val="7"/>
          <c:order val="7"/>
          <c:tx>
            <c:strRef>
              <c:f>'Water Quality'!$A$28</c:f>
              <c:strCache>
                <c:ptCount val="1"/>
                <c:pt idx="0">
                  <c:v>T8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Quality'!$B$28:$Z$28</c:f>
              <c:numCache>
                <c:formatCode>General</c:formatCode>
                <c:ptCount val="25"/>
                <c:pt idx="1">
                  <c:v>26.8</c:v>
                </c:pt>
                <c:pt idx="2">
                  <c:v>26.8</c:v>
                </c:pt>
                <c:pt idx="3">
                  <c:v>26.8</c:v>
                </c:pt>
                <c:pt idx="4">
                  <c:v>26.8</c:v>
                </c:pt>
                <c:pt idx="5">
                  <c:v>26.6</c:v>
                </c:pt>
                <c:pt idx="6">
                  <c:v>26.9</c:v>
                </c:pt>
                <c:pt idx="7">
                  <c:v>27</c:v>
                </c:pt>
                <c:pt idx="8">
                  <c:v>27.2</c:v>
                </c:pt>
                <c:pt idx="9">
                  <c:v>27.8</c:v>
                </c:pt>
                <c:pt idx="10">
                  <c:v>28.5</c:v>
                </c:pt>
                <c:pt idx="11">
                  <c:v>28.9</c:v>
                </c:pt>
                <c:pt idx="12">
                  <c:v>29.4</c:v>
                </c:pt>
                <c:pt idx="13">
                  <c:v>29.7</c:v>
                </c:pt>
                <c:pt idx="14">
                  <c:v>30.1</c:v>
                </c:pt>
                <c:pt idx="15">
                  <c:v>31</c:v>
                </c:pt>
                <c:pt idx="16">
                  <c:v>31.5</c:v>
                </c:pt>
                <c:pt idx="17">
                  <c:v>31.8</c:v>
                </c:pt>
                <c:pt idx="18">
                  <c:v>31.9</c:v>
                </c:pt>
                <c:pt idx="19">
                  <c:v>31.9</c:v>
                </c:pt>
                <c:pt idx="20">
                  <c:v>31.9</c:v>
                </c:pt>
                <c:pt idx="21">
                  <c:v>31.9</c:v>
                </c:pt>
                <c:pt idx="22">
                  <c:v>31.8</c:v>
                </c:pt>
                <c:pt idx="23">
                  <c:v>32</c:v>
                </c:pt>
                <c:pt idx="24">
                  <c:v>31.8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ED-E549-8A53-941E8920706F}"/>
            </c:ext>
          </c:extLst>
        </c:ser>
        <c:ser>
          <c:idx val="8"/>
          <c:order val="8"/>
          <c:tx>
            <c:strRef>
              <c:f>'Water Quality'!$A$29</c:f>
              <c:strCache>
                <c:ptCount val="1"/>
                <c:pt idx="0">
                  <c:v>T9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Quality'!$B$29:$Z$29</c:f>
              <c:numCache>
                <c:formatCode>General</c:formatCode>
                <c:ptCount val="25"/>
                <c:pt idx="0">
                  <c:v>26.8</c:v>
                </c:pt>
                <c:pt idx="1">
                  <c:v>26.8</c:v>
                </c:pt>
                <c:pt idx="2">
                  <c:v>26.9</c:v>
                </c:pt>
                <c:pt idx="3">
                  <c:v>26.8</c:v>
                </c:pt>
                <c:pt idx="4">
                  <c:v>26.8</c:v>
                </c:pt>
                <c:pt idx="5">
                  <c:v>26.9</c:v>
                </c:pt>
                <c:pt idx="6">
                  <c:v>26.6</c:v>
                </c:pt>
                <c:pt idx="7">
                  <c:v>26.7</c:v>
                </c:pt>
                <c:pt idx="8">
                  <c:v>27.2</c:v>
                </c:pt>
                <c:pt idx="9">
                  <c:v>27.8</c:v>
                </c:pt>
                <c:pt idx="10">
                  <c:v>28.2</c:v>
                </c:pt>
                <c:pt idx="11">
                  <c:v>28.7</c:v>
                </c:pt>
                <c:pt idx="12">
                  <c:v>29.2</c:v>
                </c:pt>
                <c:pt idx="13">
                  <c:v>29.7</c:v>
                </c:pt>
                <c:pt idx="14">
                  <c:v>30.1</c:v>
                </c:pt>
                <c:pt idx="15">
                  <c:v>30.8</c:v>
                </c:pt>
                <c:pt idx="16">
                  <c:v>31.3</c:v>
                </c:pt>
                <c:pt idx="17">
                  <c:v>31.8</c:v>
                </c:pt>
                <c:pt idx="18">
                  <c:v>31.9</c:v>
                </c:pt>
                <c:pt idx="19">
                  <c:v>31.9</c:v>
                </c:pt>
                <c:pt idx="20">
                  <c:v>31.8</c:v>
                </c:pt>
                <c:pt idx="21">
                  <c:v>31.9</c:v>
                </c:pt>
                <c:pt idx="22">
                  <c:v>31.9</c:v>
                </c:pt>
                <c:pt idx="23">
                  <c:v>32</c:v>
                </c:pt>
                <c:pt idx="24">
                  <c:v>31.9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ED-E549-8A53-941E8920706F}"/>
            </c:ext>
          </c:extLst>
        </c:ser>
        <c:ser>
          <c:idx val="9"/>
          <c:order val="9"/>
          <c:tx>
            <c:strRef>
              <c:f>'Water Quality'!$A$30</c:f>
              <c:strCache>
                <c:ptCount val="1"/>
                <c:pt idx="0">
                  <c:v>T10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Quality'!$B$30:$Z$30</c:f>
              <c:numCache>
                <c:formatCode>General</c:formatCode>
                <c:ptCount val="25"/>
                <c:pt idx="1">
                  <c:v>27</c:v>
                </c:pt>
                <c:pt idx="2">
                  <c:v>26.7</c:v>
                </c:pt>
                <c:pt idx="3">
                  <c:v>27</c:v>
                </c:pt>
                <c:pt idx="4">
                  <c:v>26.7</c:v>
                </c:pt>
                <c:pt idx="5">
                  <c:v>26.8</c:v>
                </c:pt>
                <c:pt idx="6">
                  <c:v>26.9</c:v>
                </c:pt>
                <c:pt idx="7">
                  <c:v>26.7</c:v>
                </c:pt>
                <c:pt idx="8">
                  <c:v>27.3</c:v>
                </c:pt>
                <c:pt idx="9">
                  <c:v>27.9</c:v>
                </c:pt>
                <c:pt idx="10">
                  <c:v>28.4</c:v>
                </c:pt>
                <c:pt idx="11">
                  <c:v>28.7</c:v>
                </c:pt>
                <c:pt idx="12">
                  <c:v>29.3</c:v>
                </c:pt>
                <c:pt idx="13">
                  <c:v>29.8</c:v>
                </c:pt>
                <c:pt idx="14">
                  <c:v>30.2</c:v>
                </c:pt>
                <c:pt idx="15">
                  <c:v>30.8</c:v>
                </c:pt>
                <c:pt idx="16">
                  <c:v>31.5</c:v>
                </c:pt>
                <c:pt idx="17">
                  <c:v>31.8</c:v>
                </c:pt>
                <c:pt idx="18">
                  <c:v>31.9</c:v>
                </c:pt>
                <c:pt idx="19">
                  <c:v>32</c:v>
                </c:pt>
                <c:pt idx="20">
                  <c:v>31.8</c:v>
                </c:pt>
                <c:pt idx="21">
                  <c:v>31.8</c:v>
                </c:pt>
                <c:pt idx="22">
                  <c:v>31.9</c:v>
                </c:pt>
                <c:pt idx="23">
                  <c:v>32.1</c:v>
                </c:pt>
                <c:pt idx="24">
                  <c:v>31.8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ED-E549-8A53-941E8920706F}"/>
            </c:ext>
          </c:extLst>
        </c:ser>
        <c:ser>
          <c:idx val="10"/>
          <c:order val="10"/>
          <c:tx>
            <c:strRef>
              <c:f>'Water Quality'!$A$31</c:f>
              <c:strCache>
                <c:ptCount val="1"/>
                <c:pt idx="0">
                  <c:v>T11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Quality'!$B$31:$Z$31</c:f>
              <c:numCache>
                <c:formatCode>General</c:formatCode>
                <c:ptCount val="25"/>
                <c:pt idx="0">
                  <c:v>26.9</c:v>
                </c:pt>
                <c:pt idx="1">
                  <c:v>26.8</c:v>
                </c:pt>
                <c:pt idx="2">
                  <c:v>27</c:v>
                </c:pt>
                <c:pt idx="3">
                  <c:v>26.9</c:v>
                </c:pt>
                <c:pt idx="4">
                  <c:v>26.8</c:v>
                </c:pt>
                <c:pt idx="5">
                  <c:v>27.2</c:v>
                </c:pt>
                <c:pt idx="6">
                  <c:v>26.8</c:v>
                </c:pt>
                <c:pt idx="7">
                  <c:v>27</c:v>
                </c:pt>
                <c:pt idx="8">
                  <c:v>27.3</c:v>
                </c:pt>
                <c:pt idx="9">
                  <c:v>27.8</c:v>
                </c:pt>
                <c:pt idx="10">
                  <c:v>28.3</c:v>
                </c:pt>
                <c:pt idx="11">
                  <c:v>28.9</c:v>
                </c:pt>
                <c:pt idx="12">
                  <c:v>29.2</c:v>
                </c:pt>
                <c:pt idx="13">
                  <c:v>30</c:v>
                </c:pt>
                <c:pt idx="14">
                  <c:v>30.5</c:v>
                </c:pt>
                <c:pt idx="15">
                  <c:v>31</c:v>
                </c:pt>
                <c:pt idx="16">
                  <c:v>31.5</c:v>
                </c:pt>
                <c:pt idx="17">
                  <c:v>31.7</c:v>
                </c:pt>
                <c:pt idx="18">
                  <c:v>31.8</c:v>
                </c:pt>
                <c:pt idx="19">
                  <c:v>31.9</c:v>
                </c:pt>
                <c:pt idx="20">
                  <c:v>31.9</c:v>
                </c:pt>
                <c:pt idx="21">
                  <c:v>31.9</c:v>
                </c:pt>
                <c:pt idx="22">
                  <c:v>32</c:v>
                </c:pt>
                <c:pt idx="23">
                  <c:v>31.9</c:v>
                </c:pt>
                <c:pt idx="24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ED-E549-8A53-941E8920706F}"/>
            </c:ext>
          </c:extLst>
        </c:ser>
        <c:ser>
          <c:idx val="11"/>
          <c:order val="11"/>
          <c:tx>
            <c:strRef>
              <c:f>'Water Quality'!$A$32</c:f>
              <c:strCache>
                <c:ptCount val="1"/>
                <c:pt idx="0">
                  <c:v>T12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Quality'!$B$32:$Z$32</c:f>
              <c:numCache>
                <c:formatCode>General</c:formatCode>
                <c:ptCount val="25"/>
                <c:pt idx="1">
                  <c:v>26.7</c:v>
                </c:pt>
                <c:pt idx="2">
                  <c:v>26.8</c:v>
                </c:pt>
                <c:pt idx="3">
                  <c:v>26.8</c:v>
                </c:pt>
                <c:pt idx="4">
                  <c:v>26.7</c:v>
                </c:pt>
                <c:pt idx="5">
                  <c:v>26.8</c:v>
                </c:pt>
                <c:pt idx="6">
                  <c:v>26.7</c:v>
                </c:pt>
                <c:pt idx="7">
                  <c:v>26.8</c:v>
                </c:pt>
                <c:pt idx="8">
                  <c:v>27.3</c:v>
                </c:pt>
                <c:pt idx="9">
                  <c:v>27.9</c:v>
                </c:pt>
                <c:pt idx="10">
                  <c:v>28.3</c:v>
                </c:pt>
                <c:pt idx="11">
                  <c:v>28.9</c:v>
                </c:pt>
                <c:pt idx="12">
                  <c:v>29.2</c:v>
                </c:pt>
                <c:pt idx="13">
                  <c:v>29.8</c:v>
                </c:pt>
                <c:pt idx="14">
                  <c:v>30.3</c:v>
                </c:pt>
                <c:pt idx="15">
                  <c:v>30.8</c:v>
                </c:pt>
                <c:pt idx="16">
                  <c:v>31.3</c:v>
                </c:pt>
                <c:pt idx="17">
                  <c:v>31.7</c:v>
                </c:pt>
                <c:pt idx="18">
                  <c:v>31.7</c:v>
                </c:pt>
                <c:pt idx="19">
                  <c:v>31.8</c:v>
                </c:pt>
                <c:pt idx="20">
                  <c:v>31.8</c:v>
                </c:pt>
                <c:pt idx="21">
                  <c:v>31.8</c:v>
                </c:pt>
                <c:pt idx="22">
                  <c:v>31.8</c:v>
                </c:pt>
                <c:pt idx="23">
                  <c:v>31.8</c:v>
                </c:pt>
                <c:pt idx="24">
                  <c:v>31.8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ED-E549-8A53-941E8920706F}"/>
            </c:ext>
          </c:extLst>
        </c:ser>
        <c:ser>
          <c:idx val="12"/>
          <c:order val="12"/>
          <c:tx>
            <c:strRef>
              <c:f>'Water Quality'!$A$33</c:f>
              <c:strCache>
                <c:ptCount val="1"/>
                <c:pt idx="0">
                  <c:v>T13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Quality'!$B$33:$Z$33</c:f>
              <c:numCache>
                <c:formatCode>General</c:formatCode>
                <c:ptCount val="25"/>
                <c:pt idx="0">
                  <c:v>27.2</c:v>
                </c:pt>
                <c:pt idx="1">
                  <c:v>27</c:v>
                </c:pt>
                <c:pt idx="2">
                  <c:v>26.8</c:v>
                </c:pt>
                <c:pt idx="3">
                  <c:v>27.2</c:v>
                </c:pt>
                <c:pt idx="4">
                  <c:v>26.9</c:v>
                </c:pt>
                <c:pt idx="5">
                  <c:v>26.9</c:v>
                </c:pt>
                <c:pt idx="6">
                  <c:v>26.7</c:v>
                </c:pt>
                <c:pt idx="7">
                  <c:v>26.9</c:v>
                </c:pt>
                <c:pt idx="8">
                  <c:v>27.1</c:v>
                </c:pt>
                <c:pt idx="9">
                  <c:v>27.8</c:v>
                </c:pt>
                <c:pt idx="10">
                  <c:v>28.6</c:v>
                </c:pt>
                <c:pt idx="11">
                  <c:v>29.1</c:v>
                </c:pt>
                <c:pt idx="12">
                  <c:v>29.6</c:v>
                </c:pt>
                <c:pt idx="13">
                  <c:v>30</c:v>
                </c:pt>
                <c:pt idx="14">
                  <c:v>30.1</c:v>
                </c:pt>
                <c:pt idx="15">
                  <c:v>30.9</c:v>
                </c:pt>
                <c:pt idx="16">
                  <c:v>31.3</c:v>
                </c:pt>
                <c:pt idx="17">
                  <c:v>31.7</c:v>
                </c:pt>
                <c:pt idx="18">
                  <c:v>31.8</c:v>
                </c:pt>
                <c:pt idx="19">
                  <c:v>32</c:v>
                </c:pt>
                <c:pt idx="20">
                  <c:v>31.9</c:v>
                </c:pt>
                <c:pt idx="21">
                  <c:v>31.9</c:v>
                </c:pt>
                <c:pt idx="22">
                  <c:v>31.7</c:v>
                </c:pt>
                <c:pt idx="23">
                  <c:v>31.9</c:v>
                </c:pt>
                <c:pt idx="24">
                  <c:v>31.8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ED-E549-8A53-941E8920706F}"/>
            </c:ext>
          </c:extLst>
        </c:ser>
        <c:ser>
          <c:idx val="13"/>
          <c:order val="13"/>
          <c:tx>
            <c:strRef>
              <c:f>'Water Quality'!$A$34</c:f>
              <c:strCache>
                <c:ptCount val="1"/>
                <c:pt idx="0">
                  <c:v>T14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'Water Quality'!$B$20:$Z$20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Quality'!$B$34:$Z$34</c:f>
              <c:numCache>
                <c:formatCode>General</c:formatCode>
                <c:ptCount val="25"/>
                <c:pt idx="1">
                  <c:v>26.6</c:v>
                </c:pt>
                <c:pt idx="2">
                  <c:v>26.6</c:v>
                </c:pt>
                <c:pt idx="3">
                  <c:v>26.8</c:v>
                </c:pt>
                <c:pt idx="4">
                  <c:v>26.6</c:v>
                </c:pt>
                <c:pt idx="5">
                  <c:v>26.8</c:v>
                </c:pt>
                <c:pt idx="6">
                  <c:v>26.7</c:v>
                </c:pt>
                <c:pt idx="7">
                  <c:v>26.7</c:v>
                </c:pt>
                <c:pt idx="8">
                  <c:v>27.2</c:v>
                </c:pt>
                <c:pt idx="9">
                  <c:v>27.7</c:v>
                </c:pt>
                <c:pt idx="10">
                  <c:v>28.2</c:v>
                </c:pt>
                <c:pt idx="11">
                  <c:v>28.7</c:v>
                </c:pt>
                <c:pt idx="12">
                  <c:v>29.3</c:v>
                </c:pt>
                <c:pt idx="13">
                  <c:v>29.8</c:v>
                </c:pt>
                <c:pt idx="14">
                  <c:v>30.2</c:v>
                </c:pt>
                <c:pt idx="15">
                  <c:v>30.8</c:v>
                </c:pt>
                <c:pt idx="16">
                  <c:v>31.3</c:v>
                </c:pt>
                <c:pt idx="17">
                  <c:v>31.6</c:v>
                </c:pt>
                <c:pt idx="18">
                  <c:v>31.8</c:v>
                </c:pt>
                <c:pt idx="19">
                  <c:v>31.8</c:v>
                </c:pt>
                <c:pt idx="20">
                  <c:v>31.8</c:v>
                </c:pt>
                <c:pt idx="21">
                  <c:v>31.9</c:v>
                </c:pt>
                <c:pt idx="22">
                  <c:v>31.8</c:v>
                </c:pt>
                <c:pt idx="23">
                  <c:v>31.9</c:v>
                </c:pt>
                <c:pt idx="24">
                  <c:v>31.9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ED-E549-8A53-941E89207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6225295"/>
        <c:axId val="1306163135"/>
      </c:scatterChart>
      <c:valAx>
        <c:axId val="1176225295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163135"/>
        <c:crosses val="autoZero"/>
        <c:crossBetween val="midCat"/>
      </c:valAx>
      <c:valAx>
        <c:axId val="13061631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225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'Water Quality'!$A$74</c:f>
              <c:strCache>
                <c:ptCount val="1"/>
                <c:pt idx="0">
                  <c:v>T1-T2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'Water Quality'!$B$73:$Z$73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Quality'!$B$74:$Z$74</c:f>
              <c:numCache>
                <c:formatCode>General</c:formatCode>
                <c:ptCount val="25"/>
                <c:pt idx="0">
                  <c:v>27</c:v>
                </c:pt>
                <c:pt idx="1">
                  <c:v>26.8</c:v>
                </c:pt>
                <c:pt idx="2">
                  <c:v>26.9</c:v>
                </c:pt>
                <c:pt idx="3">
                  <c:v>26.95</c:v>
                </c:pt>
                <c:pt idx="4">
                  <c:v>26.9</c:v>
                </c:pt>
                <c:pt idx="5">
                  <c:v>26.6</c:v>
                </c:pt>
                <c:pt idx="6">
                  <c:v>26.799999999999997</c:v>
                </c:pt>
                <c:pt idx="7">
                  <c:v>26.799999999999997</c:v>
                </c:pt>
                <c:pt idx="8">
                  <c:v>27</c:v>
                </c:pt>
                <c:pt idx="9">
                  <c:v>26.75</c:v>
                </c:pt>
                <c:pt idx="10">
                  <c:v>26.7</c:v>
                </c:pt>
                <c:pt idx="11">
                  <c:v>27.1</c:v>
                </c:pt>
                <c:pt idx="12">
                  <c:v>26.85</c:v>
                </c:pt>
                <c:pt idx="13">
                  <c:v>26.799999999999997</c:v>
                </c:pt>
                <c:pt idx="14">
                  <c:v>26.799999999999997</c:v>
                </c:pt>
                <c:pt idx="15">
                  <c:v>26.95</c:v>
                </c:pt>
                <c:pt idx="16">
                  <c:v>26.85</c:v>
                </c:pt>
                <c:pt idx="17">
                  <c:v>26.85</c:v>
                </c:pt>
                <c:pt idx="18">
                  <c:v>26.85</c:v>
                </c:pt>
                <c:pt idx="19">
                  <c:v>26.9</c:v>
                </c:pt>
                <c:pt idx="20">
                  <c:v>26.799999999999997</c:v>
                </c:pt>
                <c:pt idx="21">
                  <c:v>26.8</c:v>
                </c:pt>
                <c:pt idx="22">
                  <c:v>26.95</c:v>
                </c:pt>
                <c:pt idx="23">
                  <c:v>27.15</c:v>
                </c:pt>
                <c:pt idx="24">
                  <c:v>26.9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CE-F641-96B6-207E3E65A1B5}"/>
            </c:ext>
          </c:extLst>
        </c:ser>
        <c:ser>
          <c:idx val="1"/>
          <c:order val="1"/>
          <c:tx>
            <c:strRef>
              <c:f>'Water Quality'!$A$75</c:f>
              <c:strCache>
                <c:ptCount val="1"/>
                <c:pt idx="0">
                  <c:v>T3-T4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'Water Quality'!$B$73:$Z$73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Quality'!$B$75:$Z$75</c:f>
              <c:numCache>
                <c:formatCode>General</c:formatCode>
                <c:ptCount val="25"/>
                <c:pt idx="0">
                  <c:v>26.7</c:v>
                </c:pt>
                <c:pt idx="1">
                  <c:v>26.55</c:v>
                </c:pt>
                <c:pt idx="2">
                  <c:v>26.75</c:v>
                </c:pt>
                <c:pt idx="3">
                  <c:v>26.75</c:v>
                </c:pt>
                <c:pt idx="4">
                  <c:v>26.6</c:v>
                </c:pt>
                <c:pt idx="5">
                  <c:v>26.75</c:v>
                </c:pt>
                <c:pt idx="6">
                  <c:v>26.65</c:v>
                </c:pt>
                <c:pt idx="7">
                  <c:v>26.65</c:v>
                </c:pt>
                <c:pt idx="8">
                  <c:v>27.299999999999997</c:v>
                </c:pt>
                <c:pt idx="9">
                  <c:v>27.8</c:v>
                </c:pt>
                <c:pt idx="10">
                  <c:v>28.25</c:v>
                </c:pt>
                <c:pt idx="11">
                  <c:v>28.8</c:v>
                </c:pt>
                <c:pt idx="12">
                  <c:v>29.25</c:v>
                </c:pt>
                <c:pt idx="13">
                  <c:v>29.85</c:v>
                </c:pt>
                <c:pt idx="14">
                  <c:v>30.35</c:v>
                </c:pt>
                <c:pt idx="15">
                  <c:v>30.85</c:v>
                </c:pt>
                <c:pt idx="16">
                  <c:v>31.3</c:v>
                </c:pt>
                <c:pt idx="17">
                  <c:v>31.7</c:v>
                </c:pt>
                <c:pt idx="18">
                  <c:v>31.75</c:v>
                </c:pt>
                <c:pt idx="19">
                  <c:v>31.799999999999997</c:v>
                </c:pt>
                <c:pt idx="20">
                  <c:v>31.8</c:v>
                </c:pt>
                <c:pt idx="21">
                  <c:v>31.799999999999997</c:v>
                </c:pt>
                <c:pt idx="22">
                  <c:v>31.9</c:v>
                </c:pt>
                <c:pt idx="23">
                  <c:v>31.799999999999997</c:v>
                </c:pt>
                <c:pt idx="24">
                  <c:v>31.799999999999997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CE-F641-96B6-207E3E65A1B5}"/>
            </c:ext>
          </c:extLst>
        </c:ser>
        <c:ser>
          <c:idx val="2"/>
          <c:order val="2"/>
          <c:tx>
            <c:strRef>
              <c:f>'Water Quality'!$A$76</c:f>
              <c:strCache>
                <c:ptCount val="1"/>
                <c:pt idx="0">
                  <c:v>T5-T6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'Water Quality'!$B$73:$Z$73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Quality'!$B$76:$Z$76</c:f>
              <c:numCache>
                <c:formatCode>General</c:formatCode>
                <c:ptCount val="25"/>
                <c:pt idx="0">
                  <c:v>26.9</c:v>
                </c:pt>
                <c:pt idx="1">
                  <c:v>26.8</c:v>
                </c:pt>
                <c:pt idx="2">
                  <c:v>26.75</c:v>
                </c:pt>
                <c:pt idx="3">
                  <c:v>26.8</c:v>
                </c:pt>
                <c:pt idx="4">
                  <c:v>26.85</c:v>
                </c:pt>
                <c:pt idx="5">
                  <c:v>26.7</c:v>
                </c:pt>
                <c:pt idx="6">
                  <c:v>26.7</c:v>
                </c:pt>
                <c:pt idx="7">
                  <c:v>26.700000000000003</c:v>
                </c:pt>
                <c:pt idx="8">
                  <c:v>26.75</c:v>
                </c:pt>
                <c:pt idx="9">
                  <c:v>26.75</c:v>
                </c:pt>
                <c:pt idx="10">
                  <c:v>26.75</c:v>
                </c:pt>
                <c:pt idx="11">
                  <c:v>26.9</c:v>
                </c:pt>
                <c:pt idx="12">
                  <c:v>26.75</c:v>
                </c:pt>
                <c:pt idx="13">
                  <c:v>26.8</c:v>
                </c:pt>
                <c:pt idx="14">
                  <c:v>26.9</c:v>
                </c:pt>
                <c:pt idx="15">
                  <c:v>26.95</c:v>
                </c:pt>
                <c:pt idx="16">
                  <c:v>26.9</c:v>
                </c:pt>
                <c:pt idx="17">
                  <c:v>26.950000000000003</c:v>
                </c:pt>
                <c:pt idx="18">
                  <c:v>26.95</c:v>
                </c:pt>
                <c:pt idx="19">
                  <c:v>26.8</c:v>
                </c:pt>
                <c:pt idx="20">
                  <c:v>26.9</c:v>
                </c:pt>
                <c:pt idx="21">
                  <c:v>26.799999999999997</c:v>
                </c:pt>
                <c:pt idx="22">
                  <c:v>26.95</c:v>
                </c:pt>
                <c:pt idx="23">
                  <c:v>27</c:v>
                </c:pt>
                <c:pt idx="24">
                  <c:v>27.15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CE-F641-96B6-207E3E65A1B5}"/>
            </c:ext>
          </c:extLst>
        </c:ser>
        <c:ser>
          <c:idx val="3"/>
          <c:order val="3"/>
          <c:tx>
            <c:strRef>
              <c:f>'Water Quality'!$A$77</c:f>
              <c:strCache>
                <c:ptCount val="1"/>
                <c:pt idx="0">
                  <c:v>T7-T8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'Water Quality'!$B$73:$Z$73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Quality'!$B$77:$Z$77</c:f>
              <c:numCache>
                <c:formatCode>General</c:formatCode>
                <c:ptCount val="25"/>
                <c:pt idx="0">
                  <c:v>28.1</c:v>
                </c:pt>
                <c:pt idx="1">
                  <c:v>26.9</c:v>
                </c:pt>
                <c:pt idx="2">
                  <c:v>26.85</c:v>
                </c:pt>
                <c:pt idx="3">
                  <c:v>26.9</c:v>
                </c:pt>
                <c:pt idx="4">
                  <c:v>26.85</c:v>
                </c:pt>
                <c:pt idx="5">
                  <c:v>26.65</c:v>
                </c:pt>
                <c:pt idx="6">
                  <c:v>26.85</c:v>
                </c:pt>
                <c:pt idx="7">
                  <c:v>26.85</c:v>
                </c:pt>
                <c:pt idx="8">
                  <c:v>27.2</c:v>
                </c:pt>
                <c:pt idx="9">
                  <c:v>27.75</c:v>
                </c:pt>
                <c:pt idx="10">
                  <c:v>28.35</c:v>
                </c:pt>
                <c:pt idx="11">
                  <c:v>28.9</c:v>
                </c:pt>
                <c:pt idx="12">
                  <c:v>29.35</c:v>
                </c:pt>
                <c:pt idx="13">
                  <c:v>29.799999999999997</c:v>
                </c:pt>
                <c:pt idx="14">
                  <c:v>30.200000000000003</c:v>
                </c:pt>
                <c:pt idx="15">
                  <c:v>30.9</c:v>
                </c:pt>
                <c:pt idx="16">
                  <c:v>31.45</c:v>
                </c:pt>
                <c:pt idx="17">
                  <c:v>31.8</c:v>
                </c:pt>
                <c:pt idx="18">
                  <c:v>31.85</c:v>
                </c:pt>
                <c:pt idx="19">
                  <c:v>31.85</c:v>
                </c:pt>
                <c:pt idx="20">
                  <c:v>31.85</c:v>
                </c:pt>
                <c:pt idx="21">
                  <c:v>31.9</c:v>
                </c:pt>
                <c:pt idx="22">
                  <c:v>31.9</c:v>
                </c:pt>
                <c:pt idx="23">
                  <c:v>32</c:v>
                </c:pt>
                <c:pt idx="24">
                  <c:v>31.9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CE-F641-96B6-207E3E65A1B5}"/>
            </c:ext>
          </c:extLst>
        </c:ser>
        <c:ser>
          <c:idx val="4"/>
          <c:order val="4"/>
          <c:tx>
            <c:strRef>
              <c:f>'Water Quality'!$A$78</c:f>
              <c:strCache>
                <c:ptCount val="1"/>
                <c:pt idx="0">
                  <c:v>T9-T10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'Water Quality'!$B$73:$Z$73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Quality'!$B$78:$Z$78</c:f>
              <c:numCache>
                <c:formatCode>General</c:formatCode>
                <c:ptCount val="25"/>
                <c:pt idx="0">
                  <c:v>26.8</c:v>
                </c:pt>
                <c:pt idx="1">
                  <c:v>26.9</c:v>
                </c:pt>
                <c:pt idx="2">
                  <c:v>26.799999999999997</c:v>
                </c:pt>
                <c:pt idx="3">
                  <c:v>26.9</c:v>
                </c:pt>
                <c:pt idx="4">
                  <c:v>26.75</c:v>
                </c:pt>
                <c:pt idx="5">
                  <c:v>26.85</c:v>
                </c:pt>
                <c:pt idx="6">
                  <c:v>26.75</c:v>
                </c:pt>
                <c:pt idx="7">
                  <c:v>26.7</c:v>
                </c:pt>
                <c:pt idx="8">
                  <c:v>27.25</c:v>
                </c:pt>
                <c:pt idx="9">
                  <c:v>27.85</c:v>
                </c:pt>
                <c:pt idx="10">
                  <c:v>28.299999999999997</c:v>
                </c:pt>
                <c:pt idx="11">
                  <c:v>28.7</c:v>
                </c:pt>
                <c:pt idx="12">
                  <c:v>29.25</c:v>
                </c:pt>
                <c:pt idx="13">
                  <c:v>29.75</c:v>
                </c:pt>
                <c:pt idx="14">
                  <c:v>30.15</c:v>
                </c:pt>
                <c:pt idx="15">
                  <c:v>30.8</c:v>
                </c:pt>
                <c:pt idx="16">
                  <c:v>31.4</c:v>
                </c:pt>
                <c:pt idx="17">
                  <c:v>31.8</c:v>
                </c:pt>
                <c:pt idx="18">
                  <c:v>31.9</c:v>
                </c:pt>
                <c:pt idx="19">
                  <c:v>31.95</c:v>
                </c:pt>
                <c:pt idx="20">
                  <c:v>31.8</c:v>
                </c:pt>
                <c:pt idx="21">
                  <c:v>31.85</c:v>
                </c:pt>
                <c:pt idx="22">
                  <c:v>31.9</c:v>
                </c:pt>
                <c:pt idx="23">
                  <c:v>32.049999999999997</c:v>
                </c:pt>
                <c:pt idx="24">
                  <c:v>31.85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CCE-F641-96B6-207E3E65A1B5}"/>
            </c:ext>
          </c:extLst>
        </c:ser>
        <c:ser>
          <c:idx val="5"/>
          <c:order val="5"/>
          <c:tx>
            <c:strRef>
              <c:f>'Water Quality'!$A$79</c:f>
              <c:strCache>
                <c:ptCount val="1"/>
                <c:pt idx="0">
                  <c:v>T11-T12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'Water Quality'!$B$73:$Z$73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Quality'!$B$79:$Z$79</c:f>
              <c:numCache>
                <c:formatCode>General</c:formatCode>
                <c:ptCount val="25"/>
                <c:pt idx="0">
                  <c:v>26.9</c:v>
                </c:pt>
                <c:pt idx="1">
                  <c:v>26.75</c:v>
                </c:pt>
                <c:pt idx="2">
                  <c:v>26.9</c:v>
                </c:pt>
                <c:pt idx="3">
                  <c:v>26.85</c:v>
                </c:pt>
                <c:pt idx="4">
                  <c:v>26.75</c:v>
                </c:pt>
                <c:pt idx="5">
                  <c:v>27</c:v>
                </c:pt>
                <c:pt idx="6">
                  <c:v>26.75</c:v>
                </c:pt>
                <c:pt idx="7">
                  <c:v>26.9</c:v>
                </c:pt>
                <c:pt idx="8">
                  <c:v>27.3</c:v>
                </c:pt>
                <c:pt idx="9">
                  <c:v>27.85</c:v>
                </c:pt>
                <c:pt idx="10">
                  <c:v>28.3</c:v>
                </c:pt>
                <c:pt idx="11">
                  <c:v>28.9</c:v>
                </c:pt>
                <c:pt idx="12">
                  <c:v>29.2</c:v>
                </c:pt>
                <c:pt idx="13">
                  <c:v>29.9</c:v>
                </c:pt>
                <c:pt idx="14">
                  <c:v>30.4</c:v>
                </c:pt>
                <c:pt idx="15">
                  <c:v>30.9</c:v>
                </c:pt>
                <c:pt idx="16">
                  <c:v>31.4</c:v>
                </c:pt>
                <c:pt idx="17">
                  <c:v>31.7</c:v>
                </c:pt>
                <c:pt idx="18">
                  <c:v>31.75</c:v>
                </c:pt>
                <c:pt idx="19">
                  <c:v>31.85</c:v>
                </c:pt>
                <c:pt idx="20">
                  <c:v>31.85</c:v>
                </c:pt>
                <c:pt idx="21">
                  <c:v>31.85</c:v>
                </c:pt>
                <c:pt idx="22">
                  <c:v>31.9</c:v>
                </c:pt>
                <c:pt idx="23">
                  <c:v>31.85</c:v>
                </c:pt>
                <c:pt idx="24">
                  <c:v>31.9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CCE-F641-96B6-207E3E65A1B5}"/>
            </c:ext>
          </c:extLst>
        </c:ser>
        <c:ser>
          <c:idx val="6"/>
          <c:order val="6"/>
          <c:tx>
            <c:strRef>
              <c:f>'Water Quality'!$A$80</c:f>
              <c:strCache>
                <c:ptCount val="1"/>
                <c:pt idx="0">
                  <c:v>T13-T14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'Water Quality'!$B$73:$Z$73</c:f>
              <c:numCache>
                <c:formatCode>m/d/yy</c:formatCode>
                <c:ptCount val="25"/>
                <c:pt idx="0">
                  <c:v>45477</c:v>
                </c:pt>
                <c:pt idx="1">
                  <c:v>45478</c:v>
                </c:pt>
                <c:pt idx="2">
                  <c:v>45479</c:v>
                </c:pt>
                <c:pt idx="3">
                  <c:v>45480</c:v>
                </c:pt>
                <c:pt idx="4">
                  <c:v>45481</c:v>
                </c:pt>
                <c:pt idx="5">
                  <c:v>45482</c:v>
                </c:pt>
                <c:pt idx="6">
                  <c:v>45483</c:v>
                </c:pt>
                <c:pt idx="7">
                  <c:v>45484</c:v>
                </c:pt>
                <c:pt idx="8">
                  <c:v>45485</c:v>
                </c:pt>
                <c:pt idx="9">
                  <c:v>45486</c:v>
                </c:pt>
                <c:pt idx="10">
                  <c:v>45487</c:v>
                </c:pt>
                <c:pt idx="11">
                  <c:v>45488</c:v>
                </c:pt>
                <c:pt idx="12">
                  <c:v>45489</c:v>
                </c:pt>
                <c:pt idx="13">
                  <c:v>45490</c:v>
                </c:pt>
                <c:pt idx="14">
                  <c:v>45491</c:v>
                </c:pt>
                <c:pt idx="15">
                  <c:v>45492</c:v>
                </c:pt>
                <c:pt idx="16">
                  <c:v>45493</c:v>
                </c:pt>
                <c:pt idx="17">
                  <c:v>45494</c:v>
                </c:pt>
                <c:pt idx="18">
                  <c:v>45495</c:v>
                </c:pt>
                <c:pt idx="19">
                  <c:v>45496</c:v>
                </c:pt>
                <c:pt idx="20">
                  <c:v>45497</c:v>
                </c:pt>
                <c:pt idx="21">
                  <c:v>45498</c:v>
                </c:pt>
                <c:pt idx="22">
                  <c:v>45499</c:v>
                </c:pt>
                <c:pt idx="23">
                  <c:v>45500</c:v>
                </c:pt>
                <c:pt idx="24">
                  <c:v>45501</c:v>
                </c:pt>
              </c:numCache>
            </c:numRef>
          </c:xVal>
          <c:yVal>
            <c:numRef>
              <c:f>'Water Quality'!$B$80:$Z$80</c:f>
              <c:numCache>
                <c:formatCode>General</c:formatCode>
                <c:ptCount val="25"/>
                <c:pt idx="0">
                  <c:v>27.2</c:v>
                </c:pt>
                <c:pt idx="1">
                  <c:v>26.8</c:v>
                </c:pt>
                <c:pt idx="2">
                  <c:v>26.700000000000003</c:v>
                </c:pt>
                <c:pt idx="3">
                  <c:v>27</c:v>
                </c:pt>
                <c:pt idx="4">
                  <c:v>26.75</c:v>
                </c:pt>
                <c:pt idx="5">
                  <c:v>26.85</c:v>
                </c:pt>
                <c:pt idx="6">
                  <c:v>26.7</c:v>
                </c:pt>
                <c:pt idx="7">
                  <c:v>26.799999999999997</c:v>
                </c:pt>
                <c:pt idx="8">
                  <c:v>27.15</c:v>
                </c:pt>
                <c:pt idx="9">
                  <c:v>27.75</c:v>
                </c:pt>
                <c:pt idx="10">
                  <c:v>28.4</c:v>
                </c:pt>
                <c:pt idx="11">
                  <c:v>28.9</c:v>
                </c:pt>
                <c:pt idx="12">
                  <c:v>29.450000000000003</c:v>
                </c:pt>
                <c:pt idx="13">
                  <c:v>29.9</c:v>
                </c:pt>
                <c:pt idx="14">
                  <c:v>30.15</c:v>
                </c:pt>
                <c:pt idx="15">
                  <c:v>30.85</c:v>
                </c:pt>
                <c:pt idx="16">
                  <c:v>31.3</c:v>
                </c:pt>
                <c:pt idx="17">
                  <c:v>31.65</c:v>
                </c:pt>
                <c:pt idx="18">
                  <c:v>31.8</c:v>
                </c:pt>
                <c:pt idx="19">
                  <c:v>31.9</c:v>
                </c:pt>
                <c:pt idx="20">
                  <c:v>31.85</c:v>
                </c:pt>
                <c:pt idx="21">
                  <c:v>31.9</c:v>
                </c:pt>
                <c:pt idx="22">
                  <c:v>31.75</c:v>
                </c:pt>
                <c:pt idx="23">
                  <c:v>31.9</c:v>
                </c:pt>
                <c:pt idx="24">
                  <c:v>31.85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CCE-F641-96B6-207E3E65A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054703"/>
        <c:axId val="785191375"/>
      </c:scatterChart>
      <c:valAx>
        <c:axId val="770054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191375"/>
        <c:crosses val="autoZero"/>
        <c:crossBetween val="midCat"/>
      </c:valAx>
      <c:valAx>
        <c:axId val="78519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054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596898</xdr:colOff>
      <xdr:row>43</xdr:row>
      <xdr:rowOff>137050</xdr:rowOff>
    </xdr:from>
    <xdr:to>
      <xdr:col>15</xdr:col>
      <xdr:colOff>310648</xdr:colOff>
      <xdr:row>58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2722E5-A6A4-11A9-AA0C-1AA48D0CB9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566294</xdr:colOff>
      <xdr:row>18</xdr:row>
      <xdr:rowOff>0</xdr:rowOff>
    </xdr:from>
    <xdr:to>
      <xdr:col>36</xdr:col>
      <xdr:colOff>229016</xdr:colOff>
      <xdr:row>38</xdr:row>
      <xdr:rowOff>91191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BDC7B0-7F52-4685-A90E-37A57A771E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812272</xdr:colOff>
      <xdr:row>79</xdr:row>
      <xdr:rowOff>178329</xdr:rowOff>
    </xdr:from>
    <xdr:to>
      <xdr:col>24</xdr:col>
      <xdr:colOff>799572</xdr:colOff>
      <xdr:row>106</xdr:row>
      <xdr:rowOff>17992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C4D345-3DC3-FFC1-2D7A-3D6C6EB2B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hadley/Desktop/data%20for%20monsoon(AutoRecovered).xlsx" TargetMode="External"/><Relationship Id="rId1" Type="http://schemas.openxmlformats.org/officeDocument/2006/relationships/externalLinkPath" Target="data%20for%20monsoon(AutoRecovered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ell counts"/>
      <sheetName val="P and R "/>
      <sheetName val="Fv Fm"/>
      <sheetName val="Elementomics"/>
      <sheetName val="Fvfm and elements"/>
    </sheetNames>
    <sheetDataSet>
      <sheetData sheetId="0" refreshError="1"/>
      <sheetData sheetId="1">
        <row r="4">
          <cell r="R4">
            <v>97.053629145360844</v>
          </cell>
        </row>
        <row r="5">
          <cell r="R5">
            <v>23.847935630263791</v>
          </cell>
        </row>
        <row r="6">
          <cell r="R6">
            <v>-29.790154780810795</v>
          </cell>
        </row>
        <row r="7">
          <cell r="R7">
            <v>10.272801601726343</v>
          </cell>
        </row>
        <row r="33">
          <cell r="R33">
            <v>47.744017969435873</v>
          </cell>
        </row>
        <row r="34">
          <cell r="R34">
            <v>32.411157497071542</v>
          </cell>
        </row>
        <row r="35">
          <cell r="R35">
            <v>32.411157497071542</v>
          </cell>
        </row>
        <row r="36">
          <cell r="R36">
            <v>82.413147162655548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05383-E8E8-CB43-A891-34C90CB0938F}">
  <dimension ref="A1:AA159"/>
  <sheetViews>
    <sheetView zoomScale="62" workbookViewId="0">
      <selection activeCell="C30" sqref="C30"/>
    </sheetView>
  </sheetViews>
  <sheetFormatPr baseColWidth="10" defaultRowHeight="16" x14ac:dyDescent="0.2"/>
  <cols>
    <col min="1" max="1" width="16.1640625" customWidth="1"/>
    <col min="2" max="2" width="20.33203125" customWidth="1"/>
    <col min="3" max="3" width="15" customWidth="1"/>
    <col min="4" max="4" width="14" customWidth="1"/>
    <col min="5" max="5" width="14.83203125" customWidth="1"/>
    <col min="6" max="6" width="17.5" customWidth="1"/>
  </cols>
  <sheetData>
    <row r="1" spans="1:27" x14ac:dyDescent="0.2">
      <c r="A1" s="24" t="s">
        <v>0</v>
      </c>
      <c r="B1" s="24" t="s">
        <v>2</v>
      </c>
      <c r="C1" s="24" t="s">
        <v>1</v>
      </c>
      <c r="D1" s="24" t="s">
        <v>3</v>
      </c>
      <c r="E1" s="24" t="s">
        <v>4</v>
      </c>
      <c r="F1" s="24" t="s">
        <v>5</v>
      </c>
      <c r="G1" s="24" t="s">
        <v>6</v>
      </c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</row>
    <row r="2" spans="1:27" x14ac:dyDescent="0.2">
      <c r="A2" s="25" t="s">
        <v>7</v>
      </c>
      <c r="B2" s="25" t="s">
        <v>9</v>
      </c>
      <c r="C2" s="25" t="s">
        <v>8</v>
      </c>
      <c r="D2" s="25" t="s">
        <v>10</v>
      </c>
      <c r="E2" s="25" t="s">
        <v>11</v>
      </c>
      <c r="F2" s="25" t="s">
        <v>12</v>
      </c>
      <c r="G2" s="25" t="s">
        <v>13</v>
      </c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27" x14ac:dyDescent="0.2">
      <c r="A3" s="10">
        <v>2025.3119429590024</v>
      </c>
      <c r="B3" s="10">
        <v>2501.8843975785981</v>
      </c>
      <c r="C3" s="10">
        <v>33.628567411781248</v>
      </c>
      <c r="D3" s="10">
        <v>1884.3095033017512</v>
      </c>
      <c r="E3" s="10">
        <v>11.78093</v>
      </c>
      <c r="F3" s="10">
        <v>1168.1000562113547</v>
      </c>
      <c r="G3" s="10">
        <v>729.22911630405599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</row>
    <row r="4" spans="1:27" x14ac:dyDescent="0.2">
      <c r="A4" s="10">
        <v>3556.4861020708272</v>
      </c>
      <c r="B4" s="10">
        <v>1172.8877760657424</v>
      </c>
      <c r="C4" s="10">
        <v>666.31480178278207</v>
      </c>
      <c r="D4" s="10">
        <v>1382.7126008690252</v>
      </c>
      <c r="E4" s="10">
        <v>470.79457717794395</v>
      </c>
      <c r="F4" s="10">
        <v>1375.5806467587774</v>
      </c>
      <c r="G4" s="10">
        <v>1211.3906185139062</v>
      </c>
      <c r="H4" s="10"/>
      <c r="I4" s="10"/>
      <c r="J4" s="10"/>
      <c r="K4" s="10"/>
      <c r="L4" s="10"/>
      <c r="M4" s="10"/>
      <c r="N4" s="10"/>
      <c r="O4" s="10"/>
      <c r="P4" s="12"/>
      <c r="Q4" s="12"/>
      <c r="R4" s="12"/>
      <c r="S4" s="12"/>
      <c r="T4" s="12"/>
      <c r="U4" s="12"/>
      <c r="V4" s="12"/>
      <c r="W4" s="10"/>
      <c r="X4" s="10"/>
      <c r="Y4" s="10"/>
      <c r="Z4" s="10"/>
      <c r="AA4" s="10"/>
    </row>
    <row r="5" spans="1:27" x14ac:dyDescent="0.2">
      <c r="A5" s="10">
        <v>2178.6679854929112</v>
      </c>
      <c r="B5" s="10">
        <v>2365.0045272280436</v>
      </c>
      <c r="C5" s="10">
        <v>603.37459725284054</v>
      </c>
      <c r="D5" s="10">
        <v>734.18259023354551</v>
      </c>
      <c r="E5" s="10">
        <v>1116.5794827085149</v>
      </c>
      <c r="F5" s="10">
        <v>517.86487495334075</v>
      </c>
      <c r="G5" s="10">
        <v>68.876375735858716</v>
      </c>
      <c r="H5" s="10"/>
      <c r="I5" s="10"/>
      <c r="J5" s="17"/>
      <c r="K5" s="18"/>
      <c r="L5" s="19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 x14ac:dyDescent="0.2">
      <c r="A6" s="10">
        <v>2969.6714686445116</v>
      </c>
      <c r="B6" s="10">
        <v>1926.9994453688296</v>
      </c>
      <c r="C6" s="10">
        <v>930.01311303435625</v>
      </c>
      <c r="D6" s="10">
        <v>717.43329350856231</v>
      </c>
      <c r="E6" s="10">
        <v>370.13444827020817</v>
      </c>
      <c r="F6" s="10">
        <v>5.1348102352739131</v>
      </c>
      <c r="G6" s="10">
        <v>33.97727272727272</v>
      </c>
      <c r="H6" s="10"/>
      <c r="I6" s="10"/>
      <c r="J6" s="17"/>
      <c r="K6" s="18"/>
      <c r="L6" s="19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</row>
    <row r="7" spans="1:27" x14ac:dyDescent="0.2">
      <c r="A7" s="10">
        <v>1625.8494294638876</v>
      </c>
      <c r="B7" s="10">
        <v>1916.7799113737074</v>
      </c>
      <c r="C7" s="10">
        <v>10.011719403984598</v>
      </c>
      <c r="D7" s="10">
        <v>2.849247188869831</v>
      </c>
      <c r="E7" s="10">
        <v>448.88925821284153</v>
      </c>
      <c r="F7" s="10">
        <v>898.31649831649838</v>
      </c>
      <c r="G7" s="10">
        <v>1077.3528655872528</v>
      </c>
      <c r="H7" s="10"/>
      <c r="I7" s="10"/>
      <c r="J7" s="17"/>
      <c r="K7" s="18"/>
      <c r="L7" s="19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</row>
    <row r="8" spans="1:27" x14ac:dyDescent="0.2">
      <c r="A8" s="10">
        <v>1977.3116382408678</v>
      </c>
      <c r="B8" s="10">
        <v>2305.028190081694</v>
      </c>
      <c r="C8" s="10">
        <v>544.28914505283387</v>
      </c>
      <c r="D8" s="10">
        <v>1070.4570606463035</v>
      </c>
      <c r="E8" s="10">
        <v>578.80075542965051</v>
      </c>
      <c r="F8" s="10">
        <v>906.2997668382385</v>
      </c>
      <c r="G8" s="10">
        <v>4.1597106288258203</v>
      </c>
      <c r="H8" s="10"/>
      <c r="I8" s="10"/>
      <c r="J8" s="17"/>
      <c r="K8" s="18"/>
      <c r="L8" s="19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x14ac:dyDescent="0.2">
      <c r="A9" s="10">
        <v>2646.9247832224237</v>
      </c>
      <c r="B9" s="10">
        <v>2399.1146157570729</v>
      </c>
      <c r="C9" s="10">
        <v>1562.6262626262628</v>
      </c>
      <c r="D9" s="10">
        <v>742.37236690341774</v>
      </c>
      <c r="E9" s="10">
        <v>386.46795040886309</v>
      </c>
      <c r="F9" s="10">
        <v>821.1217123529708</v>
      </c>
      <c r="G9" s="10">
        <v>1229.4026377036466</v>
      </c>
      <c r="H9" s="10"/>
      <c r="I9" s="10"/>
      <c r="J9" s="17"/>
      <c r="K9" s="18"/>
      <c r="L9" s="19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</row>
    <row r="10" spans="1:27" x14ac:dyDescent="0.2">
      <c r="A10" s="10"/>
      <c r="B10" s="10">
        <v>2543.1234244715924</v>
      </c>
      <c r="C10" s="10">
        <v>599.02900688298928</v>
      </c>
      <c r="D10" s="10">
        <v>791.00529100529104</v>
      </c>
      <c r="E10" s="10">
        <v>492.82286668057583</v>
      </c>
      <c r="F10" s="10">
        <v>511.16417497231458</v>
      </c>
      <c r="G10" s="10">
        <v>1167.8468961919671</v>
      </c>
      <c r="H10" s="10"/>
      <c r="I10" s="10"/>
      <c r="J10" s="17"/>
      <c r="K10" s="18"/>
      <c r="L10" s="19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</row>
    <row r="11" spans="1:27" x14ac:dyDescent="0.2">
      <c r="A11" s="10"/>
      <c r="B11" s="10">
        <v>2113.7097254481573</v>
      </c>
      <c r="C11" s="10">
        <v>702.71889400921657</v>
      </c>
      <c r="D11" s="10">
        <v>13.339281730983716</v>
      </c>
      <c r="E11" s="10">
        <v>1257.1809734106175</v>
      </c>
      <c r="F11" s="10">
        <v>765.82107843137237</v>
      </c>
      <c r="G11" s="10">
        <v>1015.6078431372549</v>
      </c>
      <c r="H11" s="10"/>
      <c r="I11" s="10"/>
      <c r="J11" s="17"/>
      <c r="K11" s="18"/>
      <c r="L11" s="19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</row>
    <row r="12" spans="1:27" x14ac:dyDescent="0.2">
      <c r="A12" s="10"/>
      <c r="B12" s="10">
        <v>1142.5378514780102</v>
      </c>
      <c r="C12" s="10">
        <v>437.62983947119926</v>
      </c>
      <c r="D12" s="10"/>
      <c r="E12" s="10">
        <v>1308.28111946533</v>
      </c>
      <c r="F12" s="10">
        <v>900.33691303432317</v>
      </c>
      <c r="G12" s="10">
        <v>2432.3412698412703</v>
      </c>
      <c r="H12" s="10"/>
      <c r="I12" s="10"/>
      <c r="J12" s="17"/>
      <c r="K12" s="18"/>
      <c r="L12" s="1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</row>
    <row r="13" spans="1:27" x14ac:dyDescent="0.2">
      <c r="A13" s="10"/>
      <c r="B13" s="10"/>
      <c r="C13" s="10">
        <v>0</v>
      </c>
      <c r="D13" s="10"/>
      <c r="E13" s="10">
        <v>25.948717948717945</v>
      </c>
      <c r="F13" s="10">
        <v>17.615176151761521</v>
      </c>
      <c r="G13" s="10">
        <v>2656.7771084337351</v>
      </c>
      <c r="H13" s="10"/>
      <c r="I13" s="10"/>
      <c r="J13" s="17"/>
      <c r="K13" s="18"/>
      <c r="L13" s="19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</row>
    <row r="14" spans="1:27" x14ac:dyDescent="0.2">
      <c r="A14" s="10"/>
      <c r="B14" s="10"/>
      <c r="C14" s="10">
        <v>12.536687631027259</v>
      </c>
      <c r="D14" s="10"/>
      <c r="E14" s="10"/>
      <c r="F14" s="10"/>
      <c r="G14" s="10"/>
      <c r="H14" s="10"/>
      <c r="I14" s="10"/>
      <c r="J14" s="17"/>
      <c r="K14" s="18"/>
      <c r="L14" s="19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</row>
    <row r="15" spans="1:27" x14ac:dyDescent="0.2">
      <c r="A15" s="24" t="s">
        <v>0</v>
      </c>
      <c r="B15" s="24" t="s">
        <v>2</v>
      </c>
      <c r="C15" s="24" t="s">
        <v>1</v>
      </c>
      <c r="D15" s="24" t="s">
        <v>3</v>
      </c>
      <c r="E15" s="24" t="s">
        <v>4</v>
      </c>
      <c r="F15" s="24" t="s">
        <v>5</v>
      </c>
      <c r="G15" s="24" t="s">
        <v>6</v>
      </c>
      <c r="H15" s="10"/>
      <c r="I15" s="10"/>
      <c r="J15" s="17"/>
      <c r="K15" s="18"/>
      <c r="L15" s="19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</row>
    <row r="16" spans="1:27" x14ac:dyDescent="0.2">
      <c r="A16" s="10">
        <f>AVERAGE(A3:A14)</f>
        <v>2425.746192870633</v>
      </c>
      <c r="B16" s="10">
        <f t="shared" ref="B16:C16" si="0">AVERAGE(B3:B14)</f>
        <v>2038.7069864851444</v>
      </c>
      <c r="C16" s="10">
        <f t="shared" si="0"/>
        <v>508.5143862132727</v>
      </c>
      <c r="D16" s="10">
        <f t="shared" ref="D16:G16" si="1">AVERAGE(D3:D14)</f>
        <v>815.40680393197226</v>
      </c>
      <c r="E16" s="10">
        <f t="shared" si="1"/>
        <v>587.97100724666029</v>
      </c>
      <c r="F16" s="10">
        <f t="shared" si="1"/>
        <v>717.03233711420239</v>
      </c>
      <c r="G16" s="10">
        <f t="shared" si="1"/>
        <v>1056.9965195277316</v>
      </c>
      <c r="H16" s="10"/>
      <c r="I16" s="10"/>
      <c r="J16" s="17"/>
      <c r="K16" s="18"/>
      <c r="L16" s="19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</row>
    <row r="17" spans="1:27" x14ac:dyDescent="0.2">
      <c r="A17" s="10">
        <f>STDEV(A3:A14)</f>
        <v>669.03799439588727</v>
      </c>
      <c r="B17" s="10">
        <f t="shared" ref="B17:C17" si="2">STDEV(B3:B14)</f>
        <v>512.29247351550634</v>
      </c>
      <c r="C17" s="10">
        <f t="shared" si="2"/>
        <v>462.55490125553888</v>
      </c>
      <c r="D17" s="10">
        <f t="shared" ref="D17:G17" si="3">STDEV(D3:D14)</f>
        <v>597.40346699897748</v>
      </c>
      <c r="E17" s="10">
        <f t="shared" si="3"/>
        <v>449.91634498917233</v>
      </c>
      <c r="F17" s="10">
        <f t="shared" si="3"/>
        <v>427.86462920729213</v>
      </c>
      <c r="G17" s="10">
        <f t="shared" si="3"/>
        <v>880.77774417195712</v>
      </c>
      <c r="H17" s="10"/>
      <c r="I17" s="10"/>
      <c r="J17" s="17"/>
      <c r="K17" s="18"/>
      <c r="L17" s="19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</row>
    <row r="18" spans="1:27" x14ac:dyDescent="0.2">
      <c r="A18" s="10">
        <f>A17/SQRT(7)</f>
        <v>252.87259297499185</v>
      </c>
      <c r="B18" s="10">
        <f>B17/SQRT(10)</f>
        <v>162.00110444704868</v>
      </c>
      <c r="C18" s="10">
        <f>C17/SQRT(12)</f>
        <v>133.52809837743308</v>
      </c>
      <c r="D18" s="10">
        <f>D17/SQRT(11)</f>
        <v>180.12392259027934</v>
      </c>
      <c r="E18" s="10">
        <f>E17/SQRT(12)</f>
        <v>129.87966144615561</v>
      </c>
      <c r="F18" s="10">
        <f>F17/SQRT(11)</f>
        <v>129.00603964955693</v>
      </c>
      <c r="G18" s="10">
        <f>G17/SQRT(11)</f>
        <v>265.56448191945628</v>
      </c>
      <c r="H18" s="10"/>
      <c r="I18" s="10"/>
      <c r="J18" s="17"/>
      <c r="K18" s="18"/>
      <c r="L18" s="19"/>
      <c r="M18" s="10"/>
      <c r="N18" s="10"/>
      <c r="O18" s="10"/>
      <c r="P18" s="12"/>
      <c r="Q18" s="12"/>
      <c r="R18" s="12"/>
      <c r="S18" s="12"/>
      <c r="T18" s="12"/>
      <c r="U18" s="12"/>
      <c r="V18" s="12"/>
      <c r="W18" s="10"/>
      <c r="X18" s="10"/>
      <c r="Y18" s="10"/>
      <c r="Z18" s="10"/>
      <c r="AA18" s="10"/>
    </row>
    <row r="19" spans="1:27" x14ac:dyDescent="0.2">
      <c r="A19" s="10"/>
      <c r="B19" s="10"/>
      <c r="C19" s="10"/>
      <c r="D19" s="10"/>
      <c r="E19" s="10"/>
      <c r="F19" s="10"/>
      <c r="G19" s="10"/>
      <c r="H19" s="10"/>
      <c r="I19" s="10"/>
      <c r="J19" s="17"/>
      <c r="K19" s="18"/>
      <c r="L19" s="19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</row>
    <row r="20" spans="1:27" x14ac:dyDescent="0.2">
      <c r="A20" s="10"/>
      <c r="B20" s="10"/>
      <c r="C20" s="10"/>
      <c r="D20" s="10"/>
      <c r="E20" s="10"/>
      <c r="F20" s="10"/>
      <c r="G20" s="10"/>
      <c r="H20" s="10"/>
      <c r="I20" s="10"/>
      <c r="J20" s="17"/>
      <c r="K20" s="18"/>
      <c r="L20" s="19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</row>
    <row r="21" spans="1:27" x14ac:dyDescent="0.2">
      <c r="A21" s="10"/>
      <c r="B21" s="10"/>
      <c r="C21" s="10"/>
      <c r="D21" s="10"/>
      <c r="E21" s="10"/>
      <c r="F21" s="10"/>
      <c r="G21" s="10"/>
      <c r="H21" s="10"/>
      <c r="I21" s="10"/>
      <c r="J21" s="17"/>
      <c r="K21" s="18"/>
      <c r="L21" s="19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</row>
    <row r="22" spans="1:27" x14ac:dyDescent="0.2">
      <c r="A22" s="10"/>
      <c r="B22" s="12"/>
      <c r="C22" s="10"/>
      <c r="D22" s="10"/>
      <c r="E22" s="10"/>
      <c r="F22" s="10"/>
      <c r="G22" s="10"/>
      <c r="H22" s="10"/>
      <c r="I22" s="10"/>
      <c r="J22" s="17"/>
      <c r="K22" s="18"/>
      <c r="L22" s="19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</row>
    <row r="23" spans="1:27" x14ac:dyDescent="0.2">
      <c r="A23" s="10"/>
      <c r="B23" s="10"/>
      <c r="C23" s="10"/>
      <c r="D23" s="10"/>
      <c r="E23" s="10"/>
      <c r="F23" s="10"/>
      <c r="G23" s="10"/>
      <c r="H23" s="10"/>
      <c r="I23" s="10"/>
      <c r="J23" s="17"/>
      <c r="K23" s="18"/>
      <c r="L23" s="19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</row>
    <row r="24" spans="1:27" x14ac:dyDescent="0.2">
      <c r="A24" s="10"/>
      <c r="B24" s="10"/>
      <c r="C24" s="10"/>
      <c r="D24" s="10"/>
      <c r="E24" s="10"/>
      <c r="F24" s="10"/>
      <c r="G24" s="10"/>
      <c r="H24" s="10"/>
      <c r="I24" s="10"/>
      <c r="J24" s="17"/>
      <c r="K24" s="18"/>
      <c r="L24" s="19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</row>
    <row r="25" spans="1:27" x14ac:dyDescent="0.2">
      <c r="A25" s="10"/>
      <c r="B25" s="10"/>
      <c r="C25" s="10"/>
      <c r="D25" s="10"/>
      <c r="E25" s="10"/>
      <c r="F25" s="10"/>
      <c r="G25" s="10"/>
      <c r="H25" s="10"/>
      <c r="I25" s="10"/>
      <c r="J25" s="17"/>
      <c r="K25" s="18"/>
      <c r="L25" s="19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</row>
    <row r="26" spans="1:27" x14ac:dyDescent="0.2">
      <c r="A26" s="10"/>
      <c r="B26" s="10"/>
      <c r="C26" s="10"/>
      <c r="D26" s="10"/>
      <c r="E26" s="10"/>
      <c r="F26" s="10"/>
      <c r="G26" s="10"/>
      <c r="H26" s="10"/>
      <c r="I26" s="10"/>
      <c r="J26" s="17"/>
      <c r="K26" s="18"/>
      <c r="L26" s="19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</row>
    <row r="27" spans="1:27" x14ac:dyDescent="0.2">
      <c r="A27" s="10"/>
      <c r="B27" s="10"/>
      <c r="C27" s="10"/>
      <c r="D27" s="10"/>
      <c r="E27" s="10"/>
      <c r="F27" s="10"/>
      <c r="G27" s="10"/>
      <c r="H27" s="10"/>
      <c r="I27" s="10"/>
      <c r="J27" s="17"/>
      <c r="K27" s="18"/>
      <c r="L27" s="19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</row>
    <row r="28" spans="1:27" x14ac:dyDescent="0.2">
      <c r="A28" s="10"/>
      <c r="B28" s="10"/>
      <c r="C28" s="10"/>
      <c r="D28" s="10"/>
      <c r="E28" s="10"/>
      <c r="F28" s="10"/>
      <c r="G28" s="10"/>
      <c r="H28" s="10"/>
      <c r="I28" s="10"/>
      <c r="J28" s="17"/>
      <c r="K28" s="18"/>
      <c r="L28" s="19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</row>
    <row r="29" spans="1:27" x14ac:dyDescent="0.2">
      <c r="A29" s="10"/>
      <c r="B29" s="10"/>
      <c r="C29" s="10"/>
      <c r="D29" s="10"/>
      <c r="E29" s="10"/>
      <c r="F29" s="10"/>
      <c r="G29" s="10"/>
      <c r="H29" s="10"/>
      <c r="I29" s="10"/>
      <c r="J29" s="17"/>
      <c r="K29" s="18"/>
      <c r="L29" s="19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</row>
    <row r="30" spans="1:27" x14ac:dyDescent="0.2">
      <c r="A30" s="10"/>
      <c r="B30" s="10"/>
      <c r="C30" s="10"/>
      <c r="D30" s="10"/>
      <c r="E30" s="10"/>
      <c r="F30" s="10"/>
      <c r="G30" s="10"/>
      <c r="H30" s="10"/>
      <c r="I30" s="10"/>
      <c r="J30" s="17"/>
      <c r="K30" s="18"/>
      <c r="L30" s="19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</row>
    <row r="31" spans="1:27" x14ac:dyDescent="0.2">
      <c r="A31" s="10"/>
      <c r="B31" s="10"/>
      <c r="C31" s="10"/>
      <c r="D31" s="10"/>
      <c r="E31" s="10"/>
      <c r="F31" s="10"/>
      <c r="G31" s="10"/>
      <c r="H31" s="10"/>
      <c r="I31" s="10"/>
      <c r="J31" s="17"/>
      <c r="K31" s="18"/>
      <c r="L31" s="19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</row>
    <row r="32" spans="1:27" x14ac:dyDescent="0.2">
      <c r="A32" s="10"/>
      <c r="B32" s="10"/>
      <c r="C32" s="10"/>
      <c r="D32" s="10"/>
      <c r="E32" s="10"/>
      <c r="F32" s="10"/>
      <c r="G32" s="10"/>
      <c r="H32" s="10"/>
      <c r="I32" s="10"/>
      <c r="J32" s="17"/>
      <c r="K32" s="18"/>
      <c r="L32" s="19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x14ac:dyDescent="0.2">
      <c r="A33" s="10"/>
      <c r="B33" s="10"/>
      <c r="C33" s="10"/>
      <c r="D33" s="10"/>
      <c r="E33" s="10"/>
      <c r="F33" s="10"/>
      <c r="G33" s="10"/>
      <c r="H33" s="10"/>
      <c r="I33" s="10"/>
      <c r="J33" s="17"/>
      <c r="K33" s="18"/>
      <c r="L33" s="19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x14ac:dyDescent="0.2">
      <c r="A34" s="10"/>
      <c r="B34" s="10"/>
      <c r="C34" s="10"/>
      <c r="D34" s="10"/>
      <c r="E34" s="10"/>
      <c r="F34" s="10"/>
      <c r="G34" s="10"/>
      <c r="H34" s="10"/>
      <c r="I34" s="10"/>
      <c r="J34" s="17"/>
      <c r="K34" s="18"/>
      <c r="L34" s="19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:27" x14ac:dyDescent="0.2">
      <c r="A35" s="10"/>
      <c r="B35" s="10"/>
      <c r="C35" s="10"/>
      <c r="D35" s="10"/>
      <c r="E35" s="10"/>
      <c r="F35" s="10"/>
      <c r="G35" s="10"/>
      <c r="H35" s="10"/>
      <c r="I35" s="10"/>
      <c r="J35" s="17"/>
      <c r="K35" s="18"/>
      <c r="L35" s="19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7" x14ac:dyDescent="0.2">
      <c r="A36" s="10"/>
      <c r="B36" s="12"/>
      <c r="C36" s="10"/>
      <c r="D36" s="10"/>
      <c r="E36" s="10"/>
      <c r="F36" s="10"/>
      <c r="G36" s="10"/>
      <c r="H36" s="10"/>
      <c r="I36" s="10"/>
      <c r="J36" s="17"/>
      <c r="K36" s="18"/>
      <c r="L36" s="19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x14ac:dyDescent="0.2">
      <c r="A37" s="10"/>
      <c r="B37" s="10"/>
      <c r="C37" s="10"/>
      <c r="D37" s="10"/>
      <c r="E37" s="10"/>
      <c r="F37" s="10"/>
      <c r="G37" s="10"/>
      <c r="H37" s="10"/>
      <c r="I37" s="10"/>
      <c r="J37" s="17"/>
      <c r="K37" s="18"/>
      <c r="L37" s="19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7" x14ac:dyDescent="0.2">
      <c r="A38" s="10"/>
      <c r="B38" s="10"/>
      <c r="C38" s="10"/>
      <c r="D38" s="10"/>
      <c r="E38" s="10"/>
      <c r="F38" s="10"/>
      <c r="G38" s="10"/>
      <c r="H38" s="10"/>
      <c r="I38" s="10"/>
      <c r="J38" s="17"/>
      <c r="K38" s="18"/>
      <c r="L38" s="19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7" x14ac:dyDescent="0.2">
      <c r="A39" s="10"/>
      <c r="B39" s="10"/>
      <c r="C39" s="10"/>
      <c r="D39" s="10"/>
      <c r="E39" s="10"/>
      <c r="F39" s="10"/>
      <c r="G39" s="10"/>
      <c r="H39" s="10"/>
      <c r="I39" s="10"/>
      <c r="J39" s="17"/>
      <c r="K39" s="18"/>
      <c r="L39" s="19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7" x14ac:dyDescent="0.2">
      <c r="J40" s="5"/>
      <c r="K40" s="7"/>
      <c r="L40" s="6"/>
    </row>
    <row r="41" spans="1:27" x14ac:dyDescent="0.2">
      <c r="J41" s="5"/>
      <c r="K41" s="7"/>
      <c r="L41" s="6"/>
    </row>
    <row r="42" spans="1:27" x14ac:dyDescent="0.2">
      <c r="J42" s="5"/>
      <c r="K42" s="7"/>
      <c r="L42" s="6"/>
    </row>
    <row r="43" spans="1:27" x14ac:dyDescent="0.2">
      <c r="J43" s="5"/>
      <c r="K43" s="7"/>
      <c r="L43" s="6"/>
    </row>
    <row r="44" spans="1:27" x14ac:dyDescent="0.2">
      <c r="J44" s="5"/>
      <c r="K44" s="7"/>
      <c r="L44" s="6"/>
    </row>
    <row r="45" spans="1:27" x14ac:dyDescent="0.2">
      <c r="J45" s="5"/>
      <c r="K45" s="7"/>
      <c r="L45" s="6"/>
    </row>
    <row r="46" spans="1:27" x14ac:dyDescent="0.2">
      <c r="J46" s="5"/>
      <c r="K46" s="7"/>
      <c r="L46" s="6"/>
    </row>
    <row r="47" spans="1:27" x14ac:dyDescent="0.2">
      <c r="J47" s="5"/>
      <c r="K47" s="7"/>
      <c r="L47" s="6"/>
    </row>
    <row r="48" spans="1:27" x14ac:dyDescent="0.2">
      <c r="J48" s="5"/>
      <c r="K48" s="7"/>
      <c r="L48" s="6"/>
    </row>
    <row r="49" spans="10:12" x14ac:dyDescent="0.2">
      <c r="J49" s="5"/>
      <c r="K49" s="7"/>
      <c r="L49" s="6"/>
    </row>
    <row r="50" spans="10:12" x14ac:dyDescent="0.2">
      <c r="J50" s="5"/>
      <c r="K50" s="7"/>
      <c r="L50" s="6"/>
    </row>
    <row r="51" spans="10:12" x14ac:dyDescent="0.2">
      <c r="J51" s="5"/>
      <c r="K51" s="7"/>
      <c r="L51" s="6"/>
    </row>
    <row r="52" spans="10:12" x14ac:dyDescent="0.2">
      <c r="J52" s="5"/>
      <c r="K52" s="7"/>
      <c r="L52" s="6"/>
    </row>
    <row r="53" spans="10:12" x14ac:dyDescent="0.2">
      <c r="J53" s="5"/>
      <c r="K53" s="7"/>
      <c r="L53" s="6"/>
    </row>
    <row r="54" spans="10:12" x14ac:dyDescent="0.2">
      <c r="J54" s="5"/>
      <c r="K54" s="7"/>
      <c r="L54" s="6"/>
    </row>
    <row r="55" spans="10:12" x14ac:dyDescent="0.2">
      <c r="J55" s="5"/>
      <c r="K55" s="7"/>
      <c r="L55" s="6"/>
    </row>
    <row r="56" spans="10:12" x14ac:dyDescent="0.2">
      <c r="J56" s="5"/>
      <c r="K56" s="7"/>
      <c r="L56" s="6"/>
    </row>
    <row r="57" spans="10:12" x14ac:dyDescent="0.2">
      <c r="J57" s="5"/>
      <c r="K57" s="7"/>
      <c r="L57" s="6"/>
    </row>
    <row r="58" spans="10:12" x14ac:dyDescent="0.2">
      <c r="J58" s="5"/>
      <c r="K58" s="7"/>
      <c r="L58" s="6"/>
    </row>
    <row r="59" spans="10:12" x14ac:dyDescent="0.2">
      <c r="J59" s="5"/>
      <c r="K59" s="7"/>
      <c r="L59" s="6"/>
    </row>
    <row r="60" spans="10:12" x14ac:dyDescent="0.2">
      <c r="J60" s="5"/>
      <c r="K60" s="7"/>
      <c r="L60" s="6"/>
    </row>
    <row r="61" spans="10:12" x14ac:dyDescent="0.2">
      <c r="J61" s="5"/>
      <c r="K61" s="7"/>
      <c r="L61" s="6"/>
    </row>
    <row r="62" spans="10:12" x14ac:dyDescent="0.2">
      <c r="J62" s="5"/>
      <c r="K62" s="7"/>
      <c r="L62" s="6"/>
    </row>
    <row r="63" spans="10:12" x14ac:dyDescent="0.2">
      <c r="J63" s="5"/>
      <c r="K63" s="7"/>
      <c r="L63" s="6"/>
    </row>
    <row r="64" spans="10:12" x14ac:dyDescent="0.2">
      <c r="J64" s="5"/>
      <c r="K64" s="7"/>
      <c r="L64" s="6"/>
    </row>
    <row r="65" spans="10:12" x14ac:dyDescent="0.2">
      <c r="J65" s="5"/>
      <c r="K65" s="7"/>
      <c r="L65" s="6"/>
    </row>
    <row r="66" spans="10:12" x14ac:dyDescent="0.2">
      <c r="J66" s="5"/>
      <c r="K66" s="7"/>
      <c r="L66" s="6"/>
    </row>
    <row r="67" spans="10:12" x14ac:dyDescent="0.2">
      <c r="J67" s="5"/>
      <c r="K67" s="7"/>
      <c r="L67" s="6"/>
    </row>
    <row r="68" spans="10:12" x14ac:dyDescent="0.2">
      <c r="J68" s="5"/>
      <c r="K68" s="7"/>
      <c r="L68" s="6"/>
    </row>
    <row r="69" spans="10:12" x14ac:dyDescent="0.2">
      <c r="J69" s="5"/>
      <c r="K69" s="7"/>
      <c r="L69" s="6"/>
    </row>
    <row r="70" spans="10:12" x14ac:dyDescent="0.2">
      <c r="J70" s="5"/>
      <c r="K70" s="7"/>
      <c r="L70" s="6"/>
    </row>
    <row r="71" spans="10:12" x14ac:dyDescent="0.2">
      <c r="J71" s="5"/>
      <c r="K71" s="7"/>
      <c r="L71" s="6"/>
    </row>
    <row r="72" spans="10:12" x14ac:dyDescent="0.2">
      <c r="J72" s="5"/>
      <c r="K72" s="7"/>
      <c r="L72" s="6"/>
    </row>
    <row r="73" spans="10:12" x14ac:dyDescent="0.2">
      <c r="J73" s="5"/>
      <c r="K73" s="7"/>
      <c r="L73" s="6"/>
    </row>
    <row r="74" spans="10:12" x14ac:dyDescent="0.2">
      <c r="J74" s="5"/>
      <c r="K74" s="7"/>
      <c r="L74" s="6"/>
    </row>
    <row r="75" spans="10:12" x14ac:dyDescent="0.2">
      <c r="J75" s="5"/>
      <c r="K75" s="7"/>
      <c r="L75" s="6"/>
    </row>
    <row r="76" spans="10:12" x14ac:dyDescent="0.2">
      <c r="J76" s="5"/>
      <c r="K76" s="7"/>
      <c r="L76" s="6"/>
    </row>
    <row r="77" spans="10:12" x14ac:dyDescent="0.2">
      <c r="J77" s="5"/>
      <c r="K77" s="7"/>
      <c r="L77" s="6"/>
    </row>
    <row r="78" spans="10:12" x14ac:dyDescent="0.2">
      <c r="J78" s="5"/>
      <c r="K78" s="7"/>
      <c r="L78" s="6"/>
    </row>
    <row r="79" spans="10:12" x14ac:dyDescent="0.2">
      <c r="J79" s="5"/>
      <c r="K79" s="7"/>
      <c r="L79" s="6"/>
    </row>
    <row r="80" spans="10:12" x14ac:dyDescent="0.2">
      <c r="J80" s="5"/>
      <c r="K80" s="7"/>
      <c r="L80" s="6"/>
    </row>
    <row r="81" spans="10:12" x14ac:dyDescent="0.2">
      <c r="J81" s="5"/>
      <c r="K81" s="7"/>
      <c r="L81" s="6"/>
    </row>
    <row r="82" spans="10:12" x14ac:dyDescent="0.2">
      <c r="J82" s="5"/>
      <c r="K82" s="7"/>
      <c r="L82" s="6"/>
    </row>
    <row r="83" spans="10:12" x14ac:dyDescent="0.2">
      <c r="J83" s="5"/>
      <c r="K83" s="7"/>
      <c r="L83" s="6"/>
    </row>
    <row r="84" spans="10:12" x14ac:dyDescent="0.2">
      <c r="J84" s="5"/>
      <c r="K84" s="7"/>
      <c r="L84" s="6"/>
    </row>
    <row r="85" spans="10:12" x14ac:dyDescent="0.2">
      <c r="J85" s="5"/>
      <c r="K85" s="7"/>
      <c r="L85" s="6"/>
    </row>
    <row r="86" spans="10:12" x14ac:dyDescent="0.2">
      <c r="J86" s="5"/>
      <c r="K86" s="7"/>
      <c r="L86" s="6"/>
    </row>
    <row r="87" spans="10:12" x14ac:dyDescent="0.2">
      <c r="J87" s="5"/>
      <c r="K87" s="7"/>
      <c r="L87" s="6"/>
    </row>
    <row r="88" spans="10:12" x14ac:dyDescent="0.2">
      <c r="J88" s="5"/>
      <c r="K88" s="7"/>
      <c r="L88" s="6"/>
    </row>
    <row r="89" spans="10:12" x14ac:dyDescent="0.2">
      <c r="J89" s="5"/>
      <c r="K89" s="7"/>
      <c r="L89" s="6"/>
    </row>
    <row r="90" spans="10:12" x14ac:dyDescent="0.2">
      <c r="J90" s="5"/>
      <c r="K90" s="7"/>
      <c r="L90" s="6"/>
    </row>
    <row r="91" spans="10:12" x14ac:dyDescent="0.2">
      <c r="J91" s="5"/>
      <c r="K91" s="7"/>
      <c r="L91" s="6"/>
    </row>
    <row r="92" spans="10:12" x14ac:dyDescent="0.2">
      <c r="J92" s="5"/>
      <c r="K92" s="7"/>
      <c r="L92" s="6"/>
    </row>
    <row r="93" spans="10:12" x14ac:dyDescent="0.2">
      <c r="J93" s="5"/>
      <c r="K93" s="7"/>
      <c r="L93" s="6"/>
    </row>
    <row r="94" spans="10:12" x14ac:dyDescent="0.2">
      <c r="J94" s="5"/>
      <c r="K94" s="7"/>
      <c r="L94" s="6"/>
    </row>
    <row r="95" spans="10:12" x14ac:dyDescent="0.2">
      <c r="J95" s="5"/>
      <c r="K95" s="7"/>
      <c r="L95" s="6"/>
    </row>
    <row r="96" spans="10:12" x14ac:dyDescent="0.2">
      <c r="J96" s="5"/>
      <c r="K96" s="7"/>
      <c r="L96" s="6"/>
    </row>
    <row r="97" spans="10:12" x14ac:dyDescent="0.2">
      <c r="J97" s="5"/>
      <c r="K97" s="7"/>
      <c r="L97" s="6"/>
    </row>
    <row r="98" spans="10:12" x14ac:dyDescent="0.2">
      <c r="J98" s="5"/>
      <c r="K98" s="7"/>
      <c r="L98" s="6"/>
    </row>
    <row r="99" spans="10:12" x14ac:dyDescent="0.2">
      <c r="J99" s="5"/>
      <c r="K99" s="7"/>
      <c r="L99" s="6"/>
    </row>
    <row r="100" spans="10:12" x14ac:dyDescent="0.2">
      <c r="J100" s="5"/>
      <c r="K100" s="7"/>
      <c r="L100" s="6"/>
    </row>
    <row r="101" spans="10:12" x14ac:dyDescent="0.2">
      <c r="J101" s="5"/>
      <c r="K101" s="7"/>
      <c r="L101" s="6"/>
    </row>
    <row r="102" spans="10:12" x14ac:dyDescent="0.2">
      <c r="J102" s="5"/>
      <c r="K102" s="7"/>
      <c r="L102" s="6"/>
    </row>
    <row r="103" spans="10:12" x14ac:dyDescent="0.2">
      <c r="J103" s="5"/>
      <c r="K103" s="7"/>
      <c r="L103" s="6"/>
    </row>
    <row r="104" spans="10:12" x14ac:dyDescent="0.2">
      <c r="J104" s="5"/>
      <c r="K104" s="7"/>
      <c r="L104" s="6"/>
    </row>
    <row r="105" spans="10:12" x14ac:dyDescent="0.2">
      <c r="J105" s="5"/>
      <c r="K105" s="7"/>
      <c r="L105" s="6"/>
    </row>
    <row r="106" spans="10:12" x14ac:dyDescent="0.2">
      <c r="J106" s="5"/>
      <c r="K106" s="7"/>
      <c r="L106" s="6"/>
    </row>
    <row r="107" spans="10:12" x14ac:dyDescent="0.2">
      <c r="J107" s="5"/>
      <c r="K107" s="7"/>
      <c r="L107" s="6"/>
    </row>
    <row r="108" spans="10:12" x14ac:dyDescent="0.2">
      <c r="J108" s="5"/>
      <c r="K108" s="7"/>
      <c r="L108" s="6"/>
    </row>
    <row r="109" spans="10:12" x14ac:dyDescent="0.2">
      <c r="J109" s="5"/>
      <c r="K109" s="7"/>
      <c r="L109" s="6"/>
    </row>
    <row r="110" spans="10:12" x14ac:dyDescent="0.2">
      <c r="J110" s="5"/>
      <c r="K110" s="7"/>
      <c r="L110" s="6"/>
    </row>
    <row r="111" spans="10:12" x14ac:dyDescent="0.2">
      <c r="J111" s="5"/>
      <c r="K111" s="7"/>
      <c r="L111" s="6"/>
    </row>
    <row r="112" spans="10:12" x14ac:dyDescent="0.2">
      <c r="J112" s="5"/>
      <c r="K112" s="7"/>
      <c r="L112" s="6"/>
    </row>
    <row r="113" spans="10:12" x14ac:dyDescent="0.2">
      <c r="J113" s="5"/>
      <c r="K113" s="7"/>
      <c r="L113" s="6"/>
    </row>
    <row r="114" spans="10:12" x14ac:dyDescent="0.2">
      <c r="J114" s="5"/>
      <c r="K114" s="7"/>
      <c r="L114" s="6"/>
    </row>
    <row r="115" spans="10:12" x14ac:dyDescent="0.2">
      <c r="J115" s="5"/>
      <c r="K115" s="7"/>
      <c r="L115" s="6"/>
    </row>
    <row r="116" spans="10:12" x14ac:dyDescent="0.2">
      <c r="J116" s="5"/>
      <c r="K116" s="7"/>
      <c r="L116" s="6"/>
    </row>
    <row r="117" spans="10:12" x14ac:dyDescent="0.2">
      <c r="J117" s="5"/>
      <c r="K117" s="7"/>
      <c r="L117" s="6"/>
    </row>
    <row r="118" spans="10:12" x14ac:dyDescent="0.2">
      <c r="J118" s="5"/>
      <c r="K118" s="7"/>
      <c r="L118" s="6"/>
    </row>
    <row r="119" spans="10:12" x14ac:dyDescent="0.2">
      <c r="J119" s="5"/>
      <c r="K119" s="7"/>
      <c r="L119" s="6"/>
    </row>
    <row r="120" spans="10:12" x14ac:dyDescent="0.2">
      <c r="J120" s="5"/>
      <c r="K120" s="7"/>
      <c r="L120" s="6"/>
    </row>
    <row r="121" spans="10:12" x14ac:dyDescent="0.2">
      <c r="J121" s="5"/>
      <c r="K121" s="7"/>
      <c r="L121" s="6"/>
    </row>
    <row r="122" spans="10:12" x14ac:dyDescent="0.2">
      <c r="J122" s="5"/>
      <c r="K122" s="7"/>
      <c r="L122" s="6"/>
    </row>
    <row r="123" spans="10:12" x14ac:dyDescent="0.2">
      <c r="J123" s="5"/>
      <c r="K123" s="7"/>
      <c r="L123" s="6"/>
    </row>
    <row r="124" spans="10:12" x14ac:dyDescent="0.2">
      <c r="J124" s="5"/>
      <c r="K124" s="7"/>
      <c r="L124" s="6"/>
    </row>
    <row r="125" spans="10:12" x14ac:dyDescent="0.2">
      <c r="J125" s="5"/>
      <c r="K125" s="7"/>
      <c r="L125" s="6"/>
    </row>
    <row r="126" spans="10:12" x14ac:dyDescent="0.2">
      <c r="J126" s="5"/>
      <c r="K126" s="7"/>
      <c r="L126" s="6"/>
    </row>
    <row r="127" spans="10:12" x14ac:dyDescent="0.2">
      <c r="J127" s="5"/>
      <c r="K127" s="7"/>
      <c r="L127" s="6"/>
    </row>
    <row r="128" spans="10:12" x14ac:dyDescent="0.2">
      <c r="J128" s="5"/>
      <c r="K128" s="7"/>
      <c r="L128" s="6"/>
    </row>
    <row r="129" spans="10:12" x14ac:dyDescent="0.2">
      <c r="J129" s="5"/>
      <c r="K129" s="7"/>
      <c r="L129" s="6"/>
    </row>
    <row r="130" spans="10:12" x14ac:dyDescent="0.2">
      <c r="J130" s="5"/>
      <c r="K130" s="7"/>
      <c r="L130" s="6"/>
    </row>
    <row r="131" spans="10:12" x14ac:dyDescent="0.2">
      <c r="J131" s="5"/>
      <c r="K131" s="7"/>
      <c r="L131" s="6"/>
    </row>
    <row r="132" spans="10:12" x14ac:dyDescent="0.2">
      <c r="J132" s="5"/>
      <c r="K132" s="7"/>
      <c r="L132" s="6"/>
    </row>
    <row r="133" spans="10:12" x14ac:dyDescent="0.2">
      <c r="J133" s="5"/>
      <c r="K133" s="7"/>
      <c r="L133" s="6"/>
    </row>
    <row r="134" spans="10:12" x14ac:dyDescent="0.2">
      <c r="J134" s="5"/>
      <c r="K134" s="7"/>
      <c r="L134" s="6"/>
    </row>
    <row r="135" spans="10:12" x14ac:dyDescent="0.2">
      <c r="J135" s="5"/>
      <c r="K135" s="7"/>
      <c r="L135" s="6"/>
    </row>
    <row r="136" spans="10:12" x14ac:dyDescent="0.2">
      <c r="J136" s="5"/>
      <c r="K136" s="7"/>
      <c r="L136" s="6"/>
    </row>
    <row r="137" spans="10:12" x14ac:dyDescent="0.2">
      <c r="J137" s="5"/>
      <c r="K137" s="7"/>
      <c r="L137" s="6"/>
    </row>
    <row r="138" spans="10:12" x14ac:dyDescent="0.2">
      <c r="J138" s="5"/>
      <c r="K138" s="7"/>
      <c r="L138" s="6"/>
    </row>
    <row r="139" spans="10:12" x14ac:dyDescent="0.2">
      <c r="J139" s="5"/>
      <c r="K139" s="7"/>
      <c r="L139" s="6"/>
    </row>
    <row r="140" spans="10:12" x14ac:dyDescent="0.2">
      <c r="J140" s="5"/>
      <c r="K140" s="7"/>
      <c r="L140" s="6"/>
    </row>
    <row r="141" spans="10:12" x14ac:dyDescent="0.2">
      <c r="J141" s="5"/>
      <c r="K141" s="7"/>
      <c r="L141" s="6"/>
    </row>
    <row r="142" spans="10:12" x14ac:dyDescent="0.2">
      <c r="J142" s="5"/>
      <c r="K142" s="7"/>
      <c r="L142" s="6"/>
    </row>
    <row r="143" spans="10:12" x14ac:dyDescent="0.2">
      <c r="J143" s="5"/>
      <c r="K143" s="7"/>
      <c r="L143" s="6"/>
    </row>
    <row r="144" spans="10:12" x14ac:dyDescent="0.2">
      <c r="J144" s="5"/>
      <c r="K144" s="7"/>
      <c r="L144" s="6"/>
    </row>
    <row r="145" spans="10:12" x14ac:dyDescent="0.2">
      <c r="J145" s="5"/>
      <c r="K145" s="7"/>
      <c r="L145" s="6"/>
    </row>
    <row r="146" spans="10:12" x14ac:dyDescent="0.2">
      <c r="J146" s="5"/>
      <c r="K146" s="7"/>
      <c r="L146" s="6"/>
    </row>
    <row r="147" spans="10:12" x14ac:dyDescent="0.2">
      <c r="J147" s="5"/>
      <c r="K147" s="7"/>
      <c r="L147" s="6"/>
    </row>
    <row r="148" spans="10:12" x14ac:dyDescent="0.2">
      <c r="J148" s="5"/>
      <c r="K148" s="7"/>
      <c r="L148" s="6"/>
    </row>
    <row r="149" spans="10:12" x14ac:dyDescent="0.2">
      <c r="J149" s="5"/>
      <c r="K149" s="7"/>
      <c r="L149" s="6"/>
    </row>
    <row r="150" spans="10:12" x14ac:dyDescent="0.2">
      <c r="J150" s="5"/>
      <c r="K150" s="7"/>
      <c r="L150" s="6"/>
    </row>
    <row r="151" spans="10:12" x14ac:dyDescent="0.2">
      <c r="J151" s="5"/>
      <c r="K151" s="7"/>
      <c r="L151" s="6"/>
    </row>
    <row r="152" spans="10:12" x14ac:dyDescent="0.2">
      <c r="J152" s="5"/>
      <c r="K152" s="7"/>
      <c r="L152" s="6"/>
    </row>
    <row r="153" spans="10:12" x14ac:dyDescent="0.2">
      <c r="J153" s="5"/>
      <c r="K153" s="7"/>
      <c r="L153" s="6"/>
    </row>
    <row r="154" spans="10:12" x14ac:dyDescent="0.2">
      <c r="J154" s="5"/>
      <c r="K154" s="7"/>
      <c r="L154" s="6"/>
    </row>
    <row r="155" spans="10:12" x14ac:dyDescent="0.2">
      <c r="J155" s="5"/>
      <c r="K155" s="7"/>
      <c r="L155" s="6"/>
    </row>
    <row r="156" spans="10:12" x14ac:dyDescent="0.2">
      <c r="J156" s="5"/>
      <c r="K156" s="7"/>
      <c r="L156" s="6"/>
    </row>
    <row r="157" spans="10:12" x14ac:dyDescent="0.2">
      <c r="J157" s="5"/>
      <c r="K157" s="7"/>
      <c r="L157" s="6"/>
    </row>
    <row r="158" spans="10:12" x14ac:dyDescent="0.2">
      <c r="J158" s="5"/>
      <c r="K158" s="7"/>
      <c r="L158" s="6"/>
    </row>
    <row r="159" spans="10:12" x14ac:dyDescent="0.2">
      <c r="J159" s="5"/>
      <c r="K159" s="7"/>
      <c r="L159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5DF1B-435A-A143-B2EE-DC7613EB0288}">
  <dimension ref="A1:H81"/>
  <sheetViews>
    <sheetView zoomScale="88" workbookViewId="0">
      <selection activeCell="B1" sqref="B1:H1"/>
    </sheetView>
  </sheetViews>
  <sheetFormatPr baseColWidth="10" defaultColWidth="11.1640625" defaultRowHeight="16" x14ac:dyDescent="0.2"/>
  <cols>
    <col min="1" max="1" width="21.6640625" customWidth="1"/>
    <col min="7" max="7" width="13.6640625" bestFit="1" customWidth="1"/>
    <col min="17" max="17" width="12.33203125" bestFit="1" customWidth="1"/>
  </cols>
  <sheetData>
    <row r="1" spans="1:8" x14ac:dyDescent="0.2">
      <c r="B1" s="20" t="s">
        <v>19</v>
      </c>
      <c r="C1" s="20" t="s">
        <v>18</v>
      </c>
      <c r="D1" s="20" t="s">
        <v>17</v>
      </c>
      <c r="E1" s="20" t="s">
        <v>15</v>
      </c>
      <c r="F1" s="20" t="s">
        <v>4</v>
      </c>
      <c r="G1" s="20" t="s">
        <v>14</v>
      </c>
      <c r="H1" s="20" t="s">
        <v>16</v>
      </c>
    </row>
    <row r="2" spans="1:8" x14ac:dyDescent="0.2">
      <c r="B2">
        <v>6.1875</v>
      </c>
      <c r="C2">
        <v>3.7857142857142856</v>
      </c>
      <c r="D2">
        <v>1.4798534798534799</v>
      </c>
      <c r="E2">
        <v>2.2555555555555555</v>
      </c>
      <c r="F2">
        <v>1.825242718446602</v>
      </c>
      <c r="G2">
        <v>1.8666666666666667</v>
      </c>
      <c r="H2">
        <v>1.8695652173913042</v>
      </c>
    </row>
    <row r="3" spans="1:8" x14ac:dyDescent="0.2">
      <c r="B3">
        <v>2.263157894736842</v>
      </c>
      <c r="C3">
        <v>3.3333333333333335</v>
      </c>
      <c r="D3">
        <v>0.6095890410958904</v>
      </c>
      <c r="E3">
        <v>0.18292682926829273</v>
      </c>
      <c r="F3">
        <v>1.9937888198757765</v>
      </c>
      <c r="G3">
        <v>0.8586387434554974</v>
      </c>
      <c r="H3">
        <v>0.22580645161290325</v>
      </c>
    </row>
    <row r="4" spans="1:8" x14ac:dyDescent="0.2">
      <c r="B4">
        <v>5.6891891891891895</v>
      </c>
      <c r="C4">
        <v>4.2529182879377432</v>
      </c>
      <c r="D4">
        <v>2.1438356164383561</v>
      </c>
      <c r="E4">
        <v>3.1023622047244093</v>
      </c>
      <c r="F4">
        <v>2.3264094955489614</v>
      </c>
      <c r="G4">
        <v>1.6041666666666665</v>
      </c>
      <c r="H4">
        <v>2.6338028169014085</v>
      </c>
    </row>
    <row r="5" spans="1:8" x14ac:dyDescent="0.2">
      <c r="B5">
        <v>3.4581939799331103</v>
      </c>
      <c r="C5">
        <v>4.4585365853658541</v>
      </c>
      <c r="D5">
        <v>0.68604651162790697</v>
      </c>
      <c r="E5">
        <v>1.3275862068965516</v>
      </c>
      <c r="F5">
        <v>1.6173285198555956</v>
      </c>
      <c r="G5">
        <v>1.0425531914893618</v>
      </c>
      <c r="H5">
        <v>3.0638297872340425</v>
      </c>
    </row>
    <row r="6" spans="1:8" x14ac:dyDescent="0.2">
      <c r="B6">
        <v>6.4210526315789478</v>
      </c>
      <c r="C6">
        <v>2.7049180327868854</v>
      </c>
      <c r="D6">
        <v>1.2635379061371841</v>
      </c>
      <c r="E6">
        <v>0.93137254901960786</v>
      </c>
      <c r="F6">
        <v>2.4390243902439046E-2</v>
      </c>
      <c r="G6">
        <v>1.0056818181818181</v>
      </c>
      <c r="H6">
        <v>2.8784313725490196</v>
      </c>
    </row>
    <row r="7" spans="1:8" x14ac:dyDescent="0.2">
      <c r="B7">
        <v>3.0515463917525771</v>
      </c>
      <c r="C7">
        <v>3.1714285714285713</v>
      </c>
      <c r="D7">
        <v>0</v>
      </c>
      <c r="E7">
        <v>0.10476190476190472</v>
      </c>
      <c r="F7">
        <v>1.7272727272727273</v>
      </c>
      <c r="G7">
        <v>-0.820754716981132</v>
      </c>
      <c r="H7">
        <v>1.7258064516129032</v>
      </c>
    </row>
    <row r="8" spans="1:8" x14ac:dyDescent="0.2">
      <c r="B8">
        <v>2.0263157894736841</v>
      </c>
      <c r="C8">
        <v>4.2393162393162394</v>
      </c>
      <c r="D8">
        <v>1.2549999999999999</v>
      </c>
      <c r="E8">
        <v>1.903225806451613</v>
      </c>
      <c r="F8">
        <v>1.3744493392070485</v>
      </c>
      <c r="G8">
        <v>2.5641025641025639</v>
      </c>
      <c r="H8">
        <v>1.8148148148148149</v>
      </c>
    </row>
    <row r="9" spans="1:8" x14ac:dyDescent="0.2">
      <c r="B9">
        <v>3.5791505791505793</v>
      </c>
      <c r="C9">
        <v>4.013513513513514</v>
      </c>
      <c r="D9">
        <v>1.4925373134328357</v>
      </c>
      <c r="E9">
        <v>2.1021897810218979</v>
      </c>
      <c r="F9">
        <v>0.30645161290322576</v>
      </c>
      <c r="G9">
        <v>2.291666666666667</v>
      </c>
      <c r="H9">
        <v>2.3310344827586205</v>
      </c>
    </row>
    <row r="10" spans="1:8" x14ac:dyDescent="0.2">
      <c r="B10">
        <v>3.8609271523178808</v>
      </c>
      <c r="C10">
        <v>3.2254098360655736</v>
      </c>
      <c r="D10">
        <v>0.72631578947368425</v>
      </c>
      <c r="E10">
        <v>1.0176470588235293</v>
      </c>
      <c r="F10">
        <v>1.3212669683257918</v>
      </c>
      <c r="G10">
        <v>1.1337209302325582</v>
      </c>
      <c r="H10">
        <v>0.67484662576687116</v>
      </c>
    </row>
    <row r="11" spans="1:8" x14ac:dyDescent="0.2">
      <c r="B11">
        <v>3.0193548387096776</v>
      </c>
      <c r="C11">
        <v>4.4477611940298507</v>
      </c>
      <c r="D11">
        <v>1.4526315789473685</v>
      </c>
      <c r="E11">
        <v>2.8114754098360653</v>
      </c>
      <c r="F11">
        <v>0.99315068493150682</v>
      </c>
      <c r="G11">
        <v>2.6421052631578945</v>
      </c>
      <c r="H11">
        <v>2.6077348066298343</v>
      </c>
    </row>
    <row r="12" spans="1:8" x14ac:dyDescent="0.2">
      <c r="B12">
        <v>5.7254901960784315</v>
      </c>
      <c r="C12">
        <v>2.75</v>
      </c>
      <c r="D12">
        <v>1.0797101449275361</v>
      </c>
      <c r="E12">
        <v>1.2</v>
      </c>
      <c r="F12">
        <v>2.015625</v>
      </c>
      <c r="G12">
        <v>1.8672985781990521</v>
      </c>
      <c r="H12">
        <v>1.5625</v>
      </c>
    </row>
    <row r="13" spans="1:8" x14ac:dyDescent="0.2">
      <c r="B13">
        <v>2.023076923076923</v>
      </c>
      <c r="C13">
        <v>1.6483516483516483</v>
      </c>
      <c r="D13">
        <v>0.60199004975124382</v>
      </c>
      <c r="E13">
        <v>1.9589041095890409</v>
      </c>
      <c r="G13">
        <v>0.1089108910891089</v>
      </c>
    </row>
    <row r="15" spans="1:8" x14ac:dyDescent="0.2">
      <c r="B15" s="20" t="s">
        <v>19</v>
      </c>
      <c r="C15" s="20" t="s">
        <v>18</v>
      </c>
      <c r="D15" s="20" t="s">
        <v>17</v>
      </c>
      <c r="E15" s="20" t="s">
        <v>15</v>
      </c>
      <c r="F15" s="20" t="s">
        <v>4</v>
      </c>
      <c r="G15" s="20" t="s">
        <v>14</v>
      </c>
      <c r="H15" s="20" t="s">
        <v>16</v>
      </c>
    </row>
    <row r="16" spans="1:8" x14ac:dyDescent="0.2">
      <c r="A16" s="20" t="s">
        <v>40</v>
      </c>
      <c r="B16">
        <v>3.9420796304998205</v>
      </c>
      <c r="C16">
        <v>3.5026001273202918</v>
      </c>
      <c r="D16">
        <v>1.0659206193071238</v>
      </c>
      <c r="E16">
        <v>1.5748339513290392</v>
      </c>
      <c r="F16">
        <v>1.411397830024516</v>
      </c>
      <c r="G16">
        <v>1.3470631052438937</v>
      </c>
      <c r="H16">
        <v>1.9443793479337932</v>
      </c>
    </row>
    <row r="17" spans="1:8" x14ac:dyDescent="0.2">
      <c r="A17" s="20" t="s">
        <v>35</v>
      </c>
      <c r="B17">
        <v>0.47361108378568773</v>
      </c>
      <c r="C17">
        <v>0.24787214816631564</v>
      </c>
      <c r="D17">
        <v>0.16420318868023306</v>
      </c>
      <c r="E17">
        <v>0.27364142150769583</v>
      </c>
      <c r="F17">
        <v>0.21708992065951144</v>
      </c>
      <c r="G17">
        <v>0.29365933030646257</v>
      </c>
      <c r="H17">
        <v>0.26920195275777348</v>
      </c>
    </row>
    <row r="80" spans="2:8" x14ac:dyDescent="0.2">
      <c r="B80" s="8"/>
      <c r="C80" s="8"/>
      <c r="D80" s="8"/>
      <c r="E80" s="8"/>
      <c r="F80" s="8"/>
      <c r="G80" s="8"/>
      <c r="H80" s="8"/>
    </row>
    <row r="81" spans="2:8" x14ac:dyDescent="0.2">
      <c r="B81" s="8"/>
      <c r="C81" s="8"/>
      <c r="D81" s="8"/>
      <c r="E81" s="8"/>
      <c r="F81" s="8"/>
      <c r="G81" s="8"/>
      <c r="H81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52844-777A-544E-BEB2-D58144FE7CA6}">
  <dimension ref="A1:AD54"/>
  <sheetViews>
    <sheetView workbookViewId="0">
      <selection activeCell="C25" sqref="C25"/>
    </sheetView>
  </sheetViews>
  <sheetFormatPr baseColWidth="10" defaultColWidth="11.1640625" defaultRowHeight="16" x14ac:dyDescent="0.2"/>
  <cols>
    <col min="2" max="2" width="24.1640625" customWidth="1"/>
    <col min="3" max="4" width="21.1640625" customWidth="1"/>
    <col min="18" max="18" width="11.5" customWidth="1"/>
    <col min="19" max="19" width="14.33203125" customWidth="1"/>
    <col min="20" max="20" width="17.5" customWidth="1"/>
    <col min="21" max="21" width="20.6640625" customWidth="1"/>
    <col min="22" max="22" width="15.33203125" customWidth="1"/>
    <col min="23" max="23" width="17.83203125" customWidth="1"/>
    <col min="25" max="25" width="17" customWidth="1"/>
  </cols>
  <sheetData>
    <row r="1" spans="1:30" x14ac:dyDescent="0.2">
      <c r="A1" s="10"/>
      <c r="B1" s="28" t="s">
        <v>21</v>
      </c>
      <c r="C1" s="28" t="s">
        <v>2</v>
      </c>
      <c r="D1" s="28" t="s">
        <v>1</v>
      </c>
      <c r="E1" s="28" t="s">
        <v>3</v>
      </c>
      <c r="F1" s="28" t="s">
        <v>20</v>
      </c>
      <c r="G1" s="28" t="s">
        <v>5</v>
      </c>
      <c r="H1" s="28" t="s">
        <v>6</v>
      </c>
      <c r="I1" s="10"/>
      <c r="J1" s="10"/>
      <c r="K1" s="10"/>
      <c r="L1" s="10"/>
      <c r="M1" s="10"/>
      <c r="N1" s="10"/>
      <c r="O1" s="10"/>
      <c r="P1" s="10"/>
      <c r="Q1" s="11"/>
      <c r="R1" s="11"/>
      <c r="S1" s="11"/>
      <c r="T1" s="11"/>
      <c r="U1" s="11"/>
      <c r="V1" s="11"/>
      <c r="W1" s="11"/>
      <c r="X1" s="10"/>
      <c r="Y1" s="10"/>
      <c r="Z1" s="10"/>
      <c r="AA1" s="10"/>
      <c r="AB1" s="10"/>
      <c r="AC1" s="10"/>
      <c r="AD1" s="10"/>
    </row>
    <row r="2" spans="1:30" x14ac:dyDescent="0.2">
      <c r="A2" s="28" t="s">
        <v>22</v>
      </c>
      <c r="B2" s="11">
        <v>0.59</v>
      </c>
      <c r="C2" s="12">
        <v>0.65</v>
      </c>
      <c r="D2" s="12">
        <v>0.35</v>
      </c>
      <c r="E2" s="12">
        <v>0.37</v>
      </c>
      <c r="F2" s="12">
        <v>0.49</v>
      </c>
      <c r="G2" s="12">
        <v>0.37</v>
      </c>
      <c r="H2" s="12">
        <v>0.56000000000000005</v>
      </c>
      <c r="I2" s="10"/>
      <c r="J2" s="10"/>
      <c r="K2" s="10"/>
      <c r="L2" s="10"/>
      <c r="M2" s="10"/>
      <c r="N2" s="10"/>
      <c r="O2" s="10"/>
      <c r="P2" s="10"/>
      <c r="Q2" s="11"/>
      <c r="R2" s="12"/>
      <c r="S2" s="12"/>
      <c r="T2" s="12"/>
      <c r="U2" s="12"/>
      <c r="V2" s="12"/>
      <c r="W2" s="12"/>
      <c r="X2" s="10"/>
      <c r="Y2" s="10"/>
      <c r="Z2" s="10"/>
      <c r="AA2" s="10"/>
      <c r="AB2" s="10"/>
      <c r="AC2" s="10"/>
      <c r="AD2" s="10"/>
    </row>
    <row r="3" spans="1:30" x14ac:dyDescent="0.2">
      <c r="A3" s="10"/>
      <c r="B3" s="13">
        <v>0.65</v>
      </c>
      <c r="C3" s="13">
        <v>0.62</v>
      </c>
      <c r="D3" s="13">
        <v>0.03</v>
      </c>
      <c r="E3" s="13">
        <v>0.31</v>
      </c>
      <c r="F3" s="13">
        <v>7.0000000000000007E-2</v>
      </c>
      <c r="G3" s="13">
        <v>0.27</v>
      </c>
      <c r="H3" s="13">
        <v>0.15</v>
      </c>
      <c r="I3" s="10"/>
      <c r="J3" s="10"/>
      <c r="K3" s="10"/>
      <c r="L3" s="10"/>
      <c r="M3" s="10"/>
      <c r="N3" s="10"/>
      <c r="O3" s="10"/>
      <c r="P3" s="10"/>
      <c r="Q3" s="13"/>
      <c r="R3" s="13"/>
      <c r="S3" s="13"/>
      <c r="T3" s="13"/>
      <c r="U3" s="13"/>
      <c r="V3" s="13"/>
      <c r="W3" s="13"/>
      <c r="X3" s="10"/>
      <c r="Y3" s="10"/>
      <c r="Z3" s="10"/>
      <c r="AA3" s="10"/>
      <c r="AB3" s="10"/>
      <c r="AC3" s="10"/>
      <c r="AD3" s="10"/>
    </row>
    <row r="4" spans="1:30" x14ac:dyDescent="0.2">
      <c r="A4" s="10"/>
      <c r="B4" s="13">
        <v>0.66</v>
      </c>
      <c r="C4" s="13">
        <v>0.68</v>
      </c>
      <c r="D4" s="13">
        <v>0.27</v>
      </c>
      <c r="E4" s="13">
        <v>0.53</v>
      </c>
      <c r="F4" s="13">
        <v>0.53</v>
      </c>
      <c r="G4" s="13">
        <v>0.48</v>
      </c>
      <c r="H4" s="13">
        <v>0.56000000000000005</v>
      </c>
      <c r="I4" s="10"/>
      <c r="J4" s="10"/>
      <c r="K4" s="10"/>
      <c r="L4" s="10"/>
      <c r="M4" s="10"/>
      <c r="N4" s="10"/>
      <c r="O4" s="10"/>
      <c r="P4" s="10"/>
      <c r="Q4" s="13"/>
      <c r="R4" s="13"/>
      <c r="S4" s="13"/>
      <c r="T4" s="13"/>
      <c r="U4" s="13"/>
      <c r="V4" s="13"/>
      <c r="W4" s="13"/>
      <c r="X4" s="10"/>
      <c r="Y4" s="11"/>
      <c r="Z4" s="13"/>
      <c r="AA4" s="10"/>
      <c r="AB4" s="10"/>
      <c r="AC4" s="10"/>
      <c r="AD4" s="10"/>
    </row>
    <row r="5" spans="1:30" x14ac:dyDescent="0.2">
      <c r="A5" s="10"/>
      <c r="B5" s="13">
        <v>0.61</v>
      </c>
      <c r="C5" s="13">
        <v>0.64</v>
      </c>
      <c r="D5" s="14">
        <v>0.21</v>
      </c>
      <c r="E5" s="13">
        <v>0.42</v>
      </c>
      <c r="F5" s="13">
        <v>0.4</v>
      </c>
      <c r="G5" s="14">
        <v>0.2</v>
      </c>
      <c r="H5" s="14">
        <v>0.21</v>
      </c>
      <c r="I5" s="10"/>
      <c r="J5" s="10"/>
      <c r="K5" s="10"/>
      <c r="L5" s="10"/>
      <c r="M5" s="10"/>
      <c r="N5" s="10"/>
      <c r="O5" s="10"/>
      <c r="P5" s="10"/>
      <c r="Q5" s="13"/>
      <c r="R5" s="13"/>
      <c r="S5" s="13"/>
      <c r="T5" s="13"/>
      <c r="U5" s="13"/>
      <c r="V5" s="13"/>
      <c r="W5" s="13"/>
      <c r="X5" s="10"/>
      <c r="Y5" s="12"/>
      <c r="Z5" s="13"/>
      <c r="AA5" s="10"/>
      <c r="AB5" s="10"/>
      <c r="AC5" s="10"/>
      <c r="AD5" s="10"/>
    </row>
    <row r="6" spans="1:30" x14ac:dyDescent="0.2">
      <c r="A6" s="10"/>
      <c r="B6" s="13">
        <v>0.67</v>
      </c>
      <c r="C6" s="13">
        <v>0.66</v>
      </c>
      <c r="D6" s="13">
        <v>0.23</v>
      </c>
      <c r="E6" s="13">
        <v>0.13</v>
      </c>
      <c r="F6" s="13">
        <v>0.08</v>
      </c>
      <c r="G6" s="13">
        <v>0.18</v>
      </c>
      <c r="H6" s="13">
        <v>0.37</v>
      </c>
      <c r="I6" s="10"/>
      <c r="J6" s="10"/>
      <c r="K6" s="10"/>
      <c r="L6" s="10"/>
      <c r="M6" s="10"/>
      <c r="N6" s="10"/>
      <c r="O6" s="10"/>
      <c r="P6" s="10"/>
      <c r="Q6" s="13"/>
      <c r="R6" s="13"/>
      <c r="S6" s="13"/>
      <c r="T6" s="13"/>
      <c r="U6" s="13"/>
      <c r="V6" s="13"/>
      <c r="W6" s="13"/>
      <c r="X6" s="10"/>
      <c r="Y6" s="12"/>
      <c r="Z6" s="13"/>
      <c r="AA6" s="10"/>
      <c r="AB6" s="10"/>
      <c r="AC6" s="10"/>
      <c r="AD6" s="10"/>
    </row>
    <row r="7" spans="1:30" x14ac:dyDescent="0.2">
      <c r="A7" s="10"/>
      <c r="B7" s="13">
        <v>0.66</v>
      </c>
      <c r="C7" s="13">
        <v>0.65</v>
      </c>
      <c r="D7" s="13">
        <v>0.36</v>
      </c>
      <c r="E7" s="13">
        <v>0.39</v>
      </c>
      <c r="F7" s="13">
        <v>0</v>
      </c>
      <c r="G7" s="13">
        <v>0.31</v>
      </c>
      <c r="H7" s="13">
        <v>0.45</v>
      </c>
      <c r="I7" s="10"/>
      <c r="J7" s="10"/>
      <c r="K7" s="10"/>
      <c r="L7" s="10"/>
      <c r="M7" s="10"/>
      <c r="N7" s="10"/>
      <c r="O7" s="10"/>
      <c r="P7" s="10"/>
      <c r="Q7" s="13"/>
      <c r="R7" s="13"/>
      <c r="S7" s="13"/>
      <c r="T7" s="13"/>
      <c r="U7" s="13"/>
      <c r="V7" s="13"/>
      <c r="W7" s="13"/>
      <c r="X7" s="10"/>
      <c r="Y7" s="12"/>
      <c r="Z7" s="13"/>
      <c r="AA7" s="10"/>
      <c r="AB7" s="10"/>
      <c r="AC7" s="10"/>
      <c r="AD7" s="10"/>
    </row>
    <row r="8" spans="1:30" x14ac:dyDescent="0.2">
      <c r="A8" s="10"/>
      <c r="B8" s="13">
        <v>0.65</v>
      </c>
      <c r="C8" s="13">
        <v>0.68</v>
      </c>
      <c r="D8" s="13">
        <v>0</v>
      </c>
      <c r="E8" s="13">
        <v>0.48</v>
      </c>
      <c r="F8" s="13">
        <v>0.41</v>
      </c>
      <c r="G8" s="13">
        <v>0.5</v>
      </c>
      <c r="H8" s="13">
        <v>0.56999999999999995</v>
      </c>
      <c r="I8" s="10"/>
      <c r="J8" s="10"/>
      <c r="K8" s="10"/>
      <c r="L8" s="10"/>
      <c r="M8" s="10"/>
      <c r="N8" s="10"/>
      <c r="O8" s="10"/>
      <c r="P8" s="10"/>
      <c r="Q8" s="13"/>
      <c r="R8" s="13"/>
      <c r="S8" s="13"/>
      <c r="T8" s="13"/>
      <c r="U8" s="14"/>
      <c r="V8" s="13"/>
      <c r="W8" s="13"/>
      <c r="X8" s="10"/>
      <c r="Y8" s="12"/>
      <c r="Z8" s="13"/>
      <c r="AA8" s="10"/>
      <c r="AB8" s="10"/>
      <c r="AC8" s="10"/>
      <c r="AD8" s="10"/>
    </row>
    <row r="9" spans="1:30" x14ac:dyDescent="0.2">
      <c r="A9" s="10"/>
      <c r="B9" s="13">
        <v>0.67</v>
      </c>
      <c r="C9" s="13">
        <v>0.68</v>
      </c>
      <c r="D9" s="13">
        <v>0.5</v>
      </c>
      <c r="E9" s="13">
        <v>0.43</v>
      </c>
      <c r="F9" s="13">
        <v>0.37</v>
      </c>
      <c r="G9" s="13">
        <v>0.5</v>
      </c>
      <c r="H9" s="13">
        <v>0.53</v>
      </c>
      <c r="I9" s="10"/>
      <c r="J9" s="10"/>
      <c r="K9" s="10"/>
      <c r="L9" s="10"/>
      <c r="M9" s="10"/>
      <c r="N9" s="10"/>
      <c r="O9" s="10"/>
      <c r="P9" s="10"/>
      <c r="Q9" s="13"/>
      <c r="R9" s="13"/>
      <c r="S9" s="14"/>
      <c r="T9" s="13"/>
      <c r="U9" s="13"/>
      <c r="V9" s="13"/>
      <c r="W9" s="13"/>
      <c r="X9" s="10"/>
      <c r="Y9" s="12"/>
      <c r="Z9" s="13"/>
      <c r="AA9" s="10"/>
      <c r="AB9" s="10"/>
      <c r="AC9" s="10"/>
      <c r="AD9" s="10"/>
    </row>
    <row r="10" spans="1:30" x14ac:dyDescent="0.2">
      <c r="A10" s="10"/>
      <c r="B10" s="13">
        <v>0.67</v>
      </c>
      <c r="C10" s="13">
        <v>0.56999999999999995</v>
      </c>
      <c r="D10" s="13">
        <v>0</v>
      </c>
      <c r="E10" s="14">
        <v>0.37</v>
      </c>
      <c r="F10" s="13">
        <v>0.43</v>
      </c>
      <c r="G10" s="14">
        <v>0.55000000000000004</v>
      </c>
      <c r="H10" s="13">
        <v>0.56999999999999995</v>
      </c>
      <c r="I10" s="10"/>
      <c r="J10" s="10"/>
      <c r="K10" s="10"/>
      <c r="L10" s="10"/>
      <c r="M10" s="10"/>
      <c r="N10" s="10"/>
      <c r="O10" s="10"/>
      <c r="P10" s="10"/>
      <c r="Q10" s="13"/>
      <c r="R10" s="13"/>
      <c r="S10" s="13"/>
      <c r="T10" s="13"/>
      <c r="U10" s="13"/>
      <c r="V10" s="13"/>
      <c r="W10" s="13"/>
      <c r="X10" s="10"/>
      <c r="Y10" s="12"/>
      <c r="Z10" s="13"/>
      <c r="AA10" s="10"/>
      <c r="AB10" s="10"/>
      <c r="AC10" s="10"/>
      <c r="AD10" s="10"/>
    </row>
    <row r="11" spans="1:30" x14ac:dyDescent="0.2">
      <c r="A11" s="10"/>
      <c r="B11" s="13">
        <v>0.65</v>
      </c>
      <c r="C11" s="13">
        <v>0.67</v>
      </c>
      <c r="D11" s="13">
        <v>0.36</v>
      </c>
      <c r="E11" s="13">
        <v>0.4</v>
      </c>
      <c r="F11" s="13">
        <v>0.3</v>
      </c>
      <c r="G11" s="13">
        <v>0.38</v>
      </c>
      <c r="H11" s="13">
        <v>0.51</v>
      </c>
      <c r="I11" s="10"/>
      <c r="J11" s="10"/>
      <c r="K11" s="10"/>
      <c r="L11" s="10"/>
      <c r="M11" s="10"/>
      <c r="N11" s="10"/>
      <c r="O11" s="10"/>
      <c r="P11" s="10"/>
      <c r="Q11" s="13"/>
      <c r="R11" s="13"/>
      <c r="S11" s="13"/>
      <c r="T11" s="13"/>
      <c r="U11" s="13"/>
      <c r="V11" s="13"/>
      <c r="W11" s="13"/>
      <c r="X11" s="10"/>
      <c r="Y11" s="10"/>
      <c r="Z11" s="10"/>
      <c r="AA11" s="10"/>
      <c r="AB11" s="10"/>
      <c r="AC11" s="10"/>
      <c r="AD11" s="10"/>
    </row>
    <row r="12" spans="1:30" x14ac:dyDescent="0.2">
      <c r="A12" s="10"/>
      <c r="B12" s="13">
        <v>0.64</v>
      </c>
      <c r="C12" s="13">
        <v>0.65</v>
      </c>
      <c r="D12" s="13">
        <v>0.3</v>
      </c>
      <c r="E12" s="13">
        <v>0.49</v>
      </c>
      <c r="F12" s="13">
        <v>0.41</v>
      </c>
      <c r="G12" s="13">
        <v>0.34</v>
      </c>
      <c r="H12" s="13"/>
      <c r="I12" s="10"/>
      <c r="J12" s="10"/>
      <c r="K12" s="10"/>
      <c r="L12" s="10"/>
      <c r="M12" s="10"/>
      <c r="N12" s="10"/>
      <c r="O12" s="10"/>
      <c r="P12" s="10"/>
      <c r="Q12" s="13"/>
      <c r="R12" s="13"/>
      <c r="S12" s="13"/>
      <c r="T12" s="13"/>
      <c r="U12" s="13"/>
      <c r="V12" s="13"/>
      <c r="W12" s="13"/>
      <c r="X12" s="10"/>
      <c r="Y12" s="10"/>
      <c r="Z12" s="10"/>
      <c r="AA12" s="10"/>
      <c r="AB12" s="10"/>
      <c r="AC12" s="10"/>
      <c r="AD12" s="10"/>
    </row>
    <row r="13" spans="1:30" x14ac:dyDescent="0.2">
      <c r="A13" s="10"/>
      <c r="B13" s="13">
        <v>0.69</v>
      </c>
      <c r="C13" s="13">
        <v>0.65</v>
      </c>
      <c r="D13" s="13"/>
      <c r="E13" s="13"/>
      <c r="F13" s="13"/>
      <c r="G13" s="14"/>
      <c r="H13" s="13"/>
      <c r="I13" s="10"/>
      <c r="J13" s="10"/>
      <c r="K13" s="10"/>
      <c r="L13" s="10"/>
      <c r="M13" s="10"/>
      <c r="N13" s="10"/>
      <c r="O13" s="10"/>
      <c r="P13" s="10"/>
      <c r="Q13" s="13"/>
      <c r="R13" s="13"/>
      <c r="S13" s="13"/>
      <c r="T13" s="13"/>
      <c r="U13" s="13"/>
      <c r="V13" s="13"/>
      <c r="W13" s="10"/>
      <c r="X13" s="10"/>
      <c r="Y13" s="10"/>
      <c r="Z13" s="10"/>
      <c r="AA13" s="10"/>
      <c r="AB13" s="10"/>
      <c r="AC13" s="10"/>
      <c r="AD13" s="10"/>
    </row>
    <row r="14" spans="1:30" x14ac:dyDescent="0.2">
      <c r="A14" s="10"/>
      <c r="B14" s="26" t="s">
        <v>21</v>
      </c>
      <c r="C14" s="26" t="s">
        <v>2</v>
      </c>
      <c r="D14" s="26" t="s">
        <v>1</v>
      </c>
      <c r="E14" s="26" t="s">
        <v>3</v>
      </c>
      <c r="F14" s="27" t="s">
        <v>20</v>
      </c>
      <c r="G14" s="26" t="s">
        <v>5</v>
      </c>
      <c r="H14" s="26" t="s">
        <v>6</v>
      </c>
      <c r="I14" s="10"/>
      <c r="J14" s="10"/>
      <c r="K14" s="10"/>
      <c r="L14" s="10"/>
      <c r="M14" s="10"/>
      <c r="N14" s="10"/>
      <c r="O14" s="10"/>
      <c r="P14" s="10"/>
      <c r="Q14" s="13"/>
      <c r="R14" s="13"/>
      <c r="S14" s="13"/>
      <c r="T14" s="13"/>
      <c r="U14" s="14"/>
      <c r="V14" s="14"/>
      <c r="W14" s="13"/>
      <c r="X14" s="10"/>
      <c r="Y14" s="10"/>
      <c r="Z14" s="10"/>
      <c r="AA14" s="10"/>
      <c r="AB14" s="10"/>
      <c r="AC14" s="10"/>
      <c r="AD14" s="10"/>
    </row>
    <row r="15" spans="1:30" x14ac:dyDescent="0.2">
      <c r="A15" s="28" t="s">
        <v>23</v>
      </c>
      <c r="B15" s="13">
        <v>0.65083333333333337</v>
      </c>
      <c r="C15" s="13">
        <v>0.65</v>
      </c>
      <c r="D15" s="13">
        <v>0.23727272727272727</v>
      </c>
      <c r="E15" s="13">
        <v>0.39272727272727276</v>
      </c>
      <c r="F15" s="13">
        <v>0.31727272727272732</v>
      </c>
      <c r="G15" s="15">
        <v>0.37090909090909091</v>
      </c>
      <c r="H15" s="13">
        <v>0.44800000000000006</v>
      </c>
      <c r="I15" s="10"/>
      <c r="J15" s="10"/>
      <c r="K15" s="10"/>
      <c r="L15" s="10"/>
      <c r="M15" s="10"/>
      <c r="N15" s="10"/>
      <c r="O15" s="10"/>
      <c r="P15" s="10"/>
      <c r="Q15" s="11"/>
      <c r="R15" s="12"/>
      <c r="S15" s="12"/>
      <c r="T15" s="12"/>
      <c r="U15" s="12"/>
      <c r="V15" s="12"/>
      <c r="W15" s="12"/>
      <c r="X15" s="10"/>
      <c r="Y15" s="10"/>
      <c r="Z15" s="10"/>
      <c r="AA15" s="10"/>
      <c r="AB15" s="10"/>
      <c r="AC15" s="10"/>
      <c r="AD15" s="10"/>
    </row>
    <row r="16" spans="1:30" x14ac:dyDescent="0.2">
      <c r="A16" s="28" t="s">
        <v>34</v>
      </c>
      <c r="B16" s="13">
        <v>2.7455197664338158E-2</v>
      </c>
      <c r="C16" s="13">
        <v>3.1042492870843433E-2</v>
      </c>
      <c r="D16" s="13">
        <v>0.16529312805382498</v>
      </c>
      <c r="E16" s="13">
        <v>0.10724652992902936</v>
      </c>
      <c r="F16" s="13">
        <v>0.18248785762844111</v>
      </c>
      <c r="G16" s="13">
        <v>0.12565464937315643</v>
      </c>
      <c r="H16" s="13">
        <v>0.15526321736543608</v>
      </c>
      <c r="I16" s="10"/>
      <c r="J16" s="10"/>
      <c r="K16" s="10"/>
      <c r="L16" s="10"/>
      <c r="M16" s="10"/>
      <c r="N16" s="10"/>
      <c r="O16" s="10"/>
      <c r="P16" s="10"/>
      <c r="Q16" s="13"/>
      <c r="R16" s="13"/>
      <c r="S16" s="13"/>
      <c r="T16" s="13"/>
      <c r="U16" s="13"/>
      <c r="V16" s="13"/>
      <c r="W16" s="13"/>
      <c r="X16" s="10"/>
      <c r="Y16" s="10"/>
      <c r="Z16" s="10"/>
      <c r="AA16" s="10"/>
      <c r="AB16" s="10"/>
      <c r="AC16" s="10"/>
      <c r="AD16" s="10"/>
    </row>
    <row r="17" spans="1:30" x14ac:dyDescent="0.2">
      <c r="A17" s="28" t="s">
        <v>35</v>
      </c>
      <c r="B17" s="13">
        <v>7.9256328810800112E-3</v>
      </c>
      <c r="C17" s="13">
        <v>8.9611958076492478E-3</v>
      </c>
      <c r="D17" s="13">
        <v>4.9837753288973233E-2</v>
      </c>
      <c r="E17" s="13">
        <v>3.2336045440201008E-2</v>
      </c>
      <c r="F17" s="13">
        <v>5.5022159322666776E-2</v>
      </c>
      <c r="G17" s="13">
        <v>3.788630228494784E-2</v>
      </c>
      <c r="H17" s="13">
        <v>4.9098540372058568E-2</v>
      </c>
      <c r="I17" s="10"/>
      <c r="J17" s="10"/>
      <c r="K17" s="10"/>
      <c r="L17" s="10"/>
      <c r="M17" s="10"/>
      <c r="N17" s="10"/>
      <c r="O17" s="10"/>
      <c r="P17" s="10"/>
      <c r="Q17" s="13"/>
      <c r="R17" s="13"/>
      <c r="S17" s="13"/>
      <c r="T17" s="13"/>
      <c r="U17" s="13"/>
      <c r="V17" s="13"/>
      <c r="W17" s="13"/>
      <c r="X17" s="10"/>
      <c r="Y17" s="10"/>
      <c r="Z17" s="10"/>
      <c r="AA17" s="10"/>
      <c r="AB17" s="10"/>
      <c r="AC17" s="10"/>
      <c r="AD17" s="10"/>
    </row>
    <row r="18" spans="1:30" x14ac:dyDescent="0.2">
      <c r="A18" s="28"/>
      <c r="B18" s="13"/>
      <c r="C18" s="13"/>
      <c r="D18" s="13"/>
      <c r="E18" s="13"/>
      <c r="F18" s="13"/>
      <c r="G18" s="13"/>
      <c r="H18" s="13"/>
      <c r="I18" s="10"/>
      <c r="J18" s="10"/>
      <c r="K18" s="10"/>
      <c r="L18" s="10"/>
      <c r="M18" s="10"/>
      <c r="N18" s="10"/>
      <c r="O18" s="10"/>
      <c r="P18" s="10"/>
      <c r="Q18" s="13"/>
      <c r="R18" s="13"/>
      <c r="S18" s="13"/>
      <c r="T18" s="13"/>
      <c r="U18" s="13"/>
      <c r="V18" s="13"/>
      <c r="W18" s="13"/>
      <c r="X18" s="10"/>
      <c r="Y18" s="10"/>
      <c r="Z18" s="10"/>
      <c r="AA18" s="10"/>
      <c r="AB18" s="10"/>
      <c r="AC18" s="10"/>
      <c r="AD18" s="10"/>
    </row>
    <row r="19" spans="1:30" x14ac:dyDescent="0.2">
      <c r="A19" s="10"/>
      <c r="B19" s="13"/>
      <c r="C19" s="13"/>
      <c r="D19" s="13"/>
      <c r="E19" s="13"/>
      <c r="F19" s="13"/>
      <c r="G19" s="13"/>
      <c r="H19" s="13"/>
      <c r="I19" s="10"/>
      <c r="J19" s="10"/>
      <c r="K19" s="10"/>
      <c r="L19" s="10"/>
      <c r="M19" s="10"/>
      <c r="N19" s="10"/>
      <c r="O19" s="10"/>
      <c r="P19" s="10"/>
      <c r="Q19" s="13"/>
      <c r="R19" s="13"/>
      <c r="S19" s="13"/>
      <c r="T19" s="13"/>
      <c r="U19" s="13"/>
      <c r="V19" s="13"/>
      <c r="W19" s="13"/>
      <c r="X19" s="10"/>
      <c r="Y19" s="10"/>
      <c r="Z19" s="10"/>
      <c r="AA19" s="10"/>
      <c r="AB19" s="10"/>
      <c r="AC19" s="10"/>
      <c r="AD19" s="10"/>
    </row>
    <row r="20" spans="1:30" x14ac:dyDescent="0.2">
      <c r="A20" s="10"/>
      <c r="B20" s="13"/>
      <c r="C20" s="13"/>
      <c r="D20" s="13"/>
      <c r="E20" s="13"/>
      <c r="F20" s="14"/>
      <c r="G20" s="13"/>
      <c r="H20" s="13"/>
      <c r="I20" s="10"/>
      <c r="J20" s="10"/>
      <c r="K20" s="10"/>
      <c r="L20" s="10"/>
      <c r="M20" s="10"/>
      <c r="N20" s="10"/>
      <c r="O20" s="10"/>
      <c r="P20" s="10"/>
      <c r="Q20" s="11"/>
      <c r="R20" s="12"/>
      <c r="S20" s="12"/>
      <c r="T20" s="12"/>
      <c r="U20" s="12"/>
      <c r="V20" s="12"/>
      <c r="W20" s="12"/>
      <c r="X20" s="10"/>
      <c r="Y20" s="10"/>
      <c r="Z20" s="10"/>
      <c r="AA20" s="10"/>
      <c r="AB20" s="10"/>
      <c r="AC20" s="10"/>
      <c r="AD20" s="10"/>
    </row>
    <row r="21" spans="1:30" x14ac:dyDescent="0.2">
      <c r="A21" s="10"/>
      <c r="B21" s="13"/>
      <c r="C21" s="14"/>
      <c r="D21" s="13"/>
      <c r="E21" s="13"/>
      <c r="F21" s="13"/>
      <c r="G21" s="13"/>
      <c r="H21" s="13"/>
      <c r="I21" s="10"/>
      <c r="J21" s="10"/>
      <c r="K21" s="10"/>
      <c r="L21" s="10"/>
      <c r="M21" s="10"/>
      <c r="N21" s="10"/>
      <c r="O21" s="10"/>
      <c r="P21" s="10"/>
      <c r="Q21" s="13"/>
      <c r="R21" s="13"/>
      <c r="S21" s="13"/>
      <c r="T21" s="13"/>
      <c r="U21" s="13"/>
      <c r="V21" s="13"/>
      <c r="W21" s="13"/>
      <c r="X21" s="10"/>
      <c r="Y21" s="10"/>
      <c r="Z21" s="10"/>
      <c r="AA21" s="10"/>
      <c r="AB21" s="10"/>
      <c r="AC21" s="10"/>
      <c r="AD21" s="10"/>
    </row>
    <row r="22" spans="1:30" x14ac:dyDescent="0.2">
      <c r="A22" s="10"/>
      <c r="B22" s="13"/>
      <c r="C22" s="13"/>
      <c r="D22" s="13"/>
      <c r="E22" s="13"/>
      <c r="F22" s="13"/>
      <c r="G22" s="13"/>
      <c r="H22" s="13"/>
      <c r="I22" s="10"/>
      <c r="J22" s="10"/>
      <c r="K22" s="10"/>
      <c r="L22" s="10"/>
      <c r="M22" s="10"/>
      <c r="N22" s="10"/>
      <c r="O22" s="10"/>
      <c r="P22" s="10"/>
      <c r="Q22" s="13"/>
      <c r="R22" s="13"/>
      <c r="S22" s="13"/>
      <c r="T22" s="13"/>
      <c r="U22" s="13"/>
      <c r="V22" s="13"/>
      <c r="W22" s="13"/>
      <c r="X22" s="10"/>
      <c r="Y22" s="12"/>
      <c r="Z22" s="10"/>
      <c r="AA22" s="10"/>
      <c r="AB22" s="10"/>
      <c r="AC22" s="10"/>
      <c r="AD22" s="10"/>
    </row>
    <row r="23" spans="1:30" x14ac:dyDescent="0.2">
      <c r="A23" s="10"/>
      <c r="B23" s="13"/>
      <c r="C23" s="13"/>
      <c r="D23" s="13"/>
      <c r="E23" s="13"/>
      <c r="F23" s="13"/>
      <c r="G23" s="13"/>
      <c r="H23" s="13"/>
      <c r="I23" s="10"/>
      <c r="J23" s="10"/>
      <c r="K23" s="10"/>
      <c r="L23" s="10"/>
      <c r="M23" s="10"/>
      <c r="N23" s="10"/>
      <c r="O23" s="10"/>
      <c r="P23" s="10"/>
      <c r="Q23" s="13"/>
      <c r="R23" s="13"/>
      <c r="S23" s="13"/>
      <c r="T23" s="13"/>
      <c r="U23" s="13"/>
      <c r="V23" s="13"/>
      <c r="W23" s="13"/>
      <c r="X23" s="10"/>
      <c r="Y23" s="13"/>
      <c r="Z23" s="10"/>
      <c r="AA23" s="10"/>
      <c r="AB23" s="10"/>
      <c r="AC23" s="10"/>
      <c r="AD23" s="10"/>
    </row>
    <row r="24" spans="1:30" x14ac:dyDescent="0.2">
      <c r="A24" s="10"/>
      <c r="B24" s="13"/>
      <c r="C24" s="13"/>
      <c r="D24" s="13"/>
      <c r="E24" s="13"/>
      <c r="F24" s="13"/>
      <c r="G24" s="13"/>
      <c r="H24" s="13"/>
      <c r="I24" s="10"/>
      <c r="J24" s="10"/>
      <c r="K24" s="10"/>
      <c r="L24" s="10"/>
      <c r="M24" s="10"/>
      <c r="N24" s="10"/>
      <c r="O24" s="10"/>
      <c r="P24" s="10"/>
      <c r="Q24" s="13"/>
      <c r="R24" s="13"/>
      <c r="S24" s="13"/>
      <c r="T24" s="13"/>
      <c r="U24" s="13"/>
      <c r="V24" s="13"/>
      <c r="W24" s="13"/>
      <c r="X24" s="10"/>
      <c r="Y24" s="13"/>
      <c r="Z24" s="10"/>
      <c r="AA24" s="10"/>
      <c r="AB24" s="10"/>
      <c r="AC24" s="10"/>
      <c r="AD24" s="10"/>
    </row>
    <row r="25" spans="1:30" x14ac:dyDescent="0.2">
      <c r="A25" s="10"/>
      <c r="B25" s="13"/>
      <c r="C25" s="13"/>
      <c r="D25" s="13"/>
      <c r="E25" s="13"/>
      <c r="F25" s="13"/>
      <c r="G25" s="13"/>
      <c r="H25" s="10"/>
      <c r="I25" s="10"/>
      <c r="J25" s="10"/>
      <c r="K25" s="10"/>
      <c r="L25" s="10"/>
      <c r="M25" s="10"/>
      <c r="N25" s="10"/>
      <c r="O25" s="10"/>
      <c r="P25" s="10"/>
      <c r="Q25" s="13"/>
      <c r="R25" s="13"/>
      <c r="S25" s="13"/>
      <c r="T25" s="13"/>
      <c r="U25" s="13"/>
      <c r="V25" s="13"/>
      <c r="W25" s="13"/>
      <c r="X25" s="10"/>
      <c r="Y25" s="13"/>
      <c r="Z25" s="10"/>
      <c r="AA25" s="10"/>
      <c r="AB25" s="10"/>
      <c r="AC25" s="10"/>
      <c r="AD25" s="10"/>
    </row>
    <row r="26" spans="1:30" x14ac:dyDescent="0.2">
      <c r="A26" s="10"/>
      <c r="B26" s="13"/>
      <c r="C26" s="13"/>
      <c r="D26" s="13"/>
      <c r="E26" s="13"/>
      <c r="F26" s="14"/>
      <c r="G26" s="14"/>
      <c r="H26" s="13"/>
      <c r="I26" s="10"/>
      <c r="J26" s="10"/>
      <c r="K26" s="10"/>
      <c r="L26" s="10"/>
      <c r="M26" s="10"/>
      <c r="N26" s="10"/>
      <c r="O26" s="10"/>
      <c r="P26" s="10"/>
      <c r="Q26" s="13"/>
      <c r="R26" s="13"/>
      <c r="S26" s="13"/>
      <c r="T26" s="13"/>
      <c r="U26" s="13"/>
      <c r="V26" s="14"/>
      <c r="W26" s="13"/>
      <c r="X26" s="10"/>
      <c r="Y26" s="13"/>
      <c r="Z26" s="10"/>
      <c r="AA26" s="10"/>
      <c r="AB26" s="10"/>
      <c r="AC26" s="10"/>
      <c r="AD26" s="10"/>
    </row>
    <row r="27" spans="1:30" x14ac:dyDescent="0.2">
      <c r="A27" s="10"/>
      <c r="B27" s="13"/>
      <c r="C27" s="13"/>
      <c r="D27" s="13"/>
      <c r="E27" s="13"/>
      <c r="F27" s="13"/>
      <c r="G27" s="13"/>
      <c r="H27" s="13"/>
      <c r="I27" s="10"/>
      <c r="J27" s="10"/>
      <c r="K27" s="10"/>
      <c r="L27" s="10"/>
      <c r="M27" s="10"/>
      <c r="N27" s="10"/>
      <c r="O27" s="10"/>
      <c r="P27" s="10"/>
      <c r="Q27" s="13"/>
      <c r="R27" s="13"/>
      <c r="S27" s="14"/>
      <c r="T27" s="13"/>
      <c r="U27" s="13"/>
      <c r="V27" s="13"/>
      <c r="W27" s="13"/>
      <c r="X27" s="10"/>
      <c r="Y27" s="13"/>
      <c r="Z27" s="10"/>
      <c r="AA27" s="10"/>
      <c r="AB27" s="10"/>
      <c r="AC27" s="10"/>
      <c r="AD27" s="10"/>
    </row>
    <row r="28" spans="1:30" x14ac:dyDescent="0.2">
      <c r="A28" s="10"/>
      <c r="B28" s="13"/>
      <c r="C28" s="13"/>
      <c r="D28" s="13"/>
      <c r="E28" s="13"/>
      <c r="F28" s="13"/>
      <c r="G28" s="13"/>
      <c r="H28" s="13"/>
      <c r="I28" s="10"/>
      <c r="J28" s="10"/>
      <c r="K28" s="10"/>
      <c r="L28" s="10"/>
      <c r="M28" s="10"/>
      <c r="N28" s="10"/>
      <c r="O28" s="10"/>
      <c r="P28" s="10"/>
      <c r="Q28" s="13"/>
      <c r="R28" s="13"/>
      <c r="S28" s="13"/>
      <c r="T28" s="13"/>
      <c r="U28" s="13"/>
      <c r="V28" s="13"/>
      <c r="W28" s="13"/>
      <c r="X28" s="10"/>
      <c r="Y28" s="13"/>
      <c r="Z28" s="10"/>
      <c r="AA28" s="10"/>
      <c r="AB28" s="10"/>
      <c r="AC28" s="10"/>
      <c r="AD28" s="10"/>
    </row>
    <row r="29" spans="1:30" x14ac:dyDescent="0.2">
      <c r="A29" s="10"/>
      <c r="B29" s="13"/>
      <c r="C29" s="13"/>
      <c r="D29" s="13"/>
      <c r="E29" s="13"/>
      <c r="F29" s="13"/>
      <c r="G29" s="13"/>
      <c r="H29" s="13"/>
      <c r="I29" s="10"/>
      <c r="J29" s="10"/>
      <c r="K29" s="10"/>
      <c r="L29" s="10"/>
      <c r="M29" s="10"/>
      <c r="N29" s="10"/>
      <c r="O29" s="10"/>
      <c r="P29" s="10"/>
      <c r="Q29" s="13"/>
      <c r="R29" s="13"/>
      <c r="S29" s="13"/>
      <c r="T29" s="13"/>
      <c r="U29" s="13"/>
      <c r="V29" s="13"/>
      <c r="W29" s="13"/>
      <c r="X29" s="10"/>
      <c r="Y29" s="13"/>
      <c r="Z29" s="10"/>
      <c r="AA29" s="10"/>
      <c r="AB29" s="10"/>
      <c r="AC29" s="10"/>
      <c r="AD29" s="10"/>
    </row>
    <row r="30" spans="1:30" x14ac:dyDescent="0.2">
      <c r="A30" s="10"/>
      <c r="B30" s="13"/>
      <c r="C30" s="13"/>
      <c r="D30" s="13"/>
      <c r="E30" s="13"/>
      <c r="F30" s="13"/>
      <c r="G30" s="13"/>
      <c r="H30" s="13"/>
      <c r="I30" s="10"/>
      <c r="J30" s="10"/>
      <c r="K30" s="10"/>
      <c r="L30" s="10"/>
      <c r="M30" s="10"/>
      <c r="N30" s="10"/>
      <c r="O30" s="10"/>
      <c r="P30" s="10"/>
      <c r="Q30" s="13"/>
      <c r="R30" s="13"/>
      <c r="S30" s="13"/>
      <c r="T30" s="13"/>
      <c r="U30" s="13"/>
      <c r="V30" s="13"/>
      <c r="W30" s="13"/>
      <c r="X30" s="10"/>
      <c r="Y30" s="13"/>
      <c r="Z30" s="10"/>
      <c r="AA30" s="10"/>
      <c r="AB30" s="10"/>
      <c r="AC30" s="10"/>
      <c r="AD30" s="10"/>
    </row>
    <row r="31" spans="1:30" x14ac:dyDescent="0.2">
      <c r="A31" s="10"/>
      <c r="B31" s="13"/>
      <c r="C31" s="13"/>
      <c r="D31" s="13"/>
      <c r="E31" s="13"/>
      <c r="F31" s="13"/>
      <c r="G31" s="13"/>
      <c r="H31" s="13"/>
      <c r="I31" s="10"/>
      <c r="J31" s="10"/>
      <c r="K31" s="10"/>
      <c r="L31" s="10"/>
      <c r="M31" s="10"/>
      <c r="N31" s="10"/>
      <c r="O31" s="10"/>
      <c r="P31" s="10"/>
      <c r="Q31" s="13"/>
      <c r="R31" s="13"/>
      <c r="S31" s="13"/>
      <c r="T31" s="10"/>
      <c r="U31" s="13"/>
      <c r="V31" s="13"/>
      <c r="W31" s="13"/>
      <c r="X31" s="10"/>
      <c r="Y31" s="13"/>
      <c r="Z31" s="10"/>
      <c r="AA31" s="10"/>
      <c r="AB31" s="10"/>
      <c r="AC31" s="10"/>
      <c r="AD31" s="10"/>
    </row>
    <row r="32" spans="1:30" x14ac:dyDescent="0.2">
      <c r="A32" s="10"/>
      <c r="B32" s="13"/>
      <c r="C32" s="13"/>
      <c r="D32" s="13"/>
      <c r="E32" s="13"/>
      <c r="F32" s="14"/>
      <c r="G32" s="13"/>
      <c r="H32" s="13"/>
      <c r="I32" s="10"/>
      <c r="J32" s="10"/>
      <c r="K32" s="10"/>
      <c r="L32" s="10"/>
      <c r="M32" s="10"/>
      <c r="N32" s="10"/>
      <c r="O32" s="10"/>
      <c r="P32" s="10"/>
      <c r="Q32" s="13"/>
      <c r="R32" s="13"/>
      <c r="S32" s="13"/>
      <c r="T32" s="13"/>
      <c r="U32" s="13"/>
      <c r="V32" s="14"/>
      <c r="W32" s="14"/>
      <c r="X32" s="10"/>
      <c r="Y32" s="13"/>
      <c r="Z32" s="10"/>
      <c r="AA32" s="10"/>
      <c r="AB32" s="10"/>
      <c r="AC32" s="10"/>
      <c r="AD32" s="10"/>
    </row>
    <row r="33" spans="1:30" x14ac:dyDescent="0.2">
      <c r="A33" s="10"/>
      <c r="B33" s="13"/>
      <c r="C33" s="13"/>
      <c r="D33" s="13"/>
      <c r="E33" s="13"/>
      <c r="F33" s="13"/>
      <c r="G33" s="13"/>
      <c r="H33" s="13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</row>
    <row r="34" spans="1:30" x14ac:dyDescent="0.2">
      <c r="A34" s="10"/>
      <c r="B34" s="13"/>
      <c r="C34" s="13"/>
      <c r="D34" s="13"/>
      <c r="E34" s="13"/>
      <c r="F34" s="13"/>
      <c r="G34" s="13"/>
      <c r="H34" s="13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3"/>
      <c r="Z34" s="10"/>
      <c r="AA34" s="10"/>
      <c r="AB34" s="10"/>
      <c r="AC34" s="10"/>
      <c r="AD34" s="10"/>
    </row>
    <row r="35" spans="1:30" x14ac:dyDescent="0.2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2"/>
      <c r="Z35" s="10"/>
      <c r="AA35" s="10"/>
      <c r="AB35" s="10"/>
      <c r="AC35" s="10"/>
      <c r="AD35" s="10"/>
    </row>
    <row r="36" spans="1:30" x14ac:dyDescent="0.2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</row>
    <row r="37" spans="1:30" x14ac:dyDescent="0.2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</row>
    <row r="38" spans="1:30" x14ac:dyDescent="0.2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</row>
    <row r="39" spans="1:30" x14ac:dyDescent="0.2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</row>
    <row r="40" spans="1:30" x14ac:dyDescent="0.2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</row>
    <row r="41" spans="1:30" x14ac:dyDescent="0.2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</row>
    <row r="42" spans="1:30" x14ac:dyDescent="0.2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</row>
    <row r="43" spans="1:30" x14ac:dyDescent="0.2">
      <c r="A43" s="10"/>
      <c r="B43" s="11"/>
      <c r="C43" s="12"/>
      <c r="D43" s="12"/>
      <c r="E43" s="12"/>
      <c r="F43" s="12"/>
      <c r="G43" s="12"/>
      <c r="H43" s="12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</row>
    <row r="44" spans="1:30" x14ac:dyDescent="0.2">
      <c r="A44" s="10"/>
      <c r="B44" s="13"/>
      <c r="C44" s="13"/>
      <c r="D44" s="13"/>
      <c r="E44" s="13"/>
      <c r="F44" s="13"/>
      <c r="G44" s="13"/>
      <c r="H44" s="13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</row>
    <row r="45" spans="1:30" x14ac:dyDescent="0.2">
      <c r="A45" s="10"/>
      <c r="B45" s="13"/>
      <c r="C45" s="13"/>
      <c r="D45" s="13"/>
      <c r="E45" s="13"/>
      <c r="F45" s="13"/>
      <c r="G45" s="13"/>
      <c r="H45" s="13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</row>
    <row r="46" spans="1:30" x14ac:dyDescent="0.2">
      <c r="A46" s="10"/>
      <c r="B46" s="13"/>
      <c r="C46" s="13"/>
      <c r="D46" s="14"/>
      <c r="E46" s="13"/>
      <c r="F46" s="13"/>
      <c r="G46" s="14"/>
      <c r="H46" s="14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</row>
    <row r="47" spans="1:30" x14ac:dyDescent="0.2">
      <c r="A47" s="10"/>
      <c r="B47" s="13"/>
      <c r="C47" s="13"/>
      <c r="D47" s="13"/>
      <c r="E47" s="13"/>
      <c r="F47" s="13"/>
      <c r="G47" s="13"/>
      <c r="H47" s="13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</row>
    <row r="48" spans="1:30" x14ac:dyDescent="0.2">
      <c r="A48" s="10"/>
      <c r="B48" s="13"/>
      <c r="C48" s="13"/>
      <c r="D48" s="13"/>
      <c r="E48" s="13"/>
      <c r="F48" s="13"/>
      <c r="G48" s="13"/>
      <c r="H48" s="13"/>
      <c r="I48" s="10"/>
      <c r="J48" s="10"/>
      <c r="K48" s="10"/>
      <c r="L48" s="10"/>
      <c r="M48" s="10"/>
      <c r="N48" s="10"/>
      <c r="O48" s="10"/>
      <c r="P48" s="10"/>
      <c r="Q48" s="16"/>
      <c r="R48" s="16"/>
      <c r="S48" s="16"/>
      <c r="T48" s="16"/>
      <c r="U48" s="16"/>
      <c r="V48" s="16"/>
      <c r="W48" s="16"/>
      <c r="X48" s="10"/>
      <c r="Y48" s="10"/>
      <c r="Z48" s="10"/>
      <c r="AA48" s="10"/>
      <c r="AB48" s="10"/>
      <c r="AC48" s="10"/>
      <c r="AD48" s="10"/>
    </row>
    <row r="49" spans="1:30" x14ac:dyDescent="0.2">
      <c r="A49" s="10"/>
      <c r="B49" s="13"/>
      <c r="C49" s="13"/>
      <c r="D49" s="13"/>
      <c r="E49" s="13"/>
      <c r="F49" s="13"/>
      <c r="G49" s="13"/>
      <c r="H49" s="13"/>
      <c r="I49" s="10"/>
      <c r="J49" s="10"/>
      <c r="K49" s="10"/>
      <c r="L49" s="10"/>
      <c r="M49" s="10"/>
      <c r="N49" s="10"/>
      <c r="O49" s="10"/>
      <c r="P49" s="10"/>
      <c r="Q49" s="16"/>
      <c r="R49" s="16"/>
      <c r="S49" s="16"/>
      <c r="T49" s="16"/>
      <c r="U49" s="16"/>
      <c r="V49" s="16"/>
      <c r="W49" s="16"/>
      <c r="X49" s="10"/>
      <c r="Y49" s="10"/>
      <c r="Z49" s="10"/>
      <c r="AA49" s="10"/>
      <c r="AB49" s="10"/>
      <c r="AC49" s="10"/>
      <c r="AD49" s="10"/>
    </row>
    <row r="50" spans="1:30" x14ac:dyDescent="0.2">
      <c r="A50" s="10"/>
      <c r="B50" s="13"/>
      <c r="C50" s="13"/>
      <c r="D50" s="13"/>
      <c r="E50" s="13"/>
      <c r="F50" s="13"/>
      <c r="G50" s="13"/>
      <c r="H50" s="13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</row>
    <row r="51" spans="1:30" x14ac:dyDescent="0.2">
      <c r="A51" s="10"/>
      <c r="B51" s="13"/>
      <c r="C51" s="13"/>
      <c r="D51" s="13"/>
      <c r="E51" s="14"/>
      <c r="F51" s="13"/>
      <c r="G51" s="14"/>
      <c r="H51" s="13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</row>
    <row r="52" spans="1:30" x14ac:dyDescent="0.2">
      <c r="B52" s="2"/>
      <c r="C52" s="2"/>
      <c r="D52" s="2"/>
      <c r="E52" s="2"/>
      <c r="F52" s="2"/>
      <c r="G52" s="2"/>
      <c r="H52" s="2"/>
    </row>
    <row r="53" spans="1:30" x14ac:dyDescent="0.2">
      <c r="B53" s="2"/>
      <c r="C53" s="2"/>
      <c r="D53" s="2"/>
      <c r="E53" s="2"/>
      <c r="F53" s="2"/>
      <c r="G53" s="2"/>
      <c r="H53" s="2"/>
    </row>
    <row r="54" spans="1:30" x14ac:dyDescent="0.2">
      <c r="B54" s="2"/>
      <c r="C54" s="2"/>
      <c r="D54" s="2"/>
      <c r="E54" s="2"/>
      <c r="F54" s="2"/>
      <c r="G54" s="3"/>
      <c r="H5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35970-79F8-2946-B4A5-9F16805C2F59}">
  <dimension ref="A1:I40"/>
  <sheetViews>
    <sheetView workbookViewId="0">
      <selection activeCell="K19" sqref="K19"/>
    </sheetView>
  </sheetViews>
  <sheetFormatPr baseColWidth="10" defaultRowHeight="16" x14ac:dyDescent="0.2"/>
  <sheetData>
    <row r="1" spans="1:9" x14ac:dyDescent="0.2">
      <c r="A1" s="20" t="s">
        <v>32</v>
      </c>
      <c r="B1" s="20" t="s">
        <v>33</v>
      </c>
      <c r="C1" s="20"/>
      <c r="D1" s="20"/>
      <c r="E1" s="20"/>
      <c r="F1" s="20"/>
      <c r="G1" s="20"/>
      <c r="H1" s="20"/>
    </row>
    <row r="2" spans="1:9" x14ac:dyDescent="0.2">
      <c r="B2" s="20" t="s">
        <v>0</v>
      </c>
      <c r="C2" s="20" t="s">
        <v>2</v>
      </c>
      <c r="D2" s="20" t="s">
        <v>1</v>
      </c>
      <c r="E2" s="20" t="s">
        <v>3</v>
      </c>
      <c r="F2" s="20" t="s">
        <v>20</v>
      </c>
      <c r="G2" s="20" t="s">
        <v>5</v>
      </c>
      <c r="H2" s="20" t="s">
        <v>6</v>
      </c>
    </row>
    <row r="3" spans="1:9" x14ac:dyDescent="0.2">
      <c r="A3" s="21"/>
      <c r="B3" s="22" t="s">
        <v>30</v>
      </c>
      <c r="C3" s="22" t="s">
        <v>28</v>
      </c>
      <c r="D3" s="22" t="s">
        <v>29</v>
      </c>
      <c r="E3" s="22" t="s">
        <v>27</v>
      </c>
      <c r="F3" s="22" t="s">
        <v>26</v>
      </c>
      <c r="G3" s="22" t="s">
        <v>25</v>
      </c>
      <c r="H3" s="22" t="s">
        <v>24</v>
      </c>
    </row>
    <row r="4" spans="1:9" x14ac:dyDescent="0.2">
      <c r="B4">
        <v>13.545653737777776</v>
      </c>
      <c r="C4">
        <v>81.043760349999999</v>
      </c>
      <c r="D4">
        <v>3.0590563400000002</v>
      </c>
      <c r="E4">
        <v>181.63203523999996</v>
      </c>
      <c r="F4">
        <v>14.780336084705878</v>
      </c>
      <c r="G4">
        <v>30.091663728</v>
      </c>
      <c r="H4">
        <v>40.473692623797469</v>
      </c>
      <c r="I4" s="23"/>
    </row>
    <row r="5" spans="1:9" x14ac:dyDescent="0.2">
      <c r="B5">
        <v>29.207641111039994</v>
      </c>
      <c r="C5">
        <v>72.953019576888892</v>
      </c>
      <c r="D5">
        <v>15.363387247999999</v>
      </c>
      <c r="E5">
        <v>89.966907759999998</v>
      </c>
      <c r="F5">
        <v>49.662579429473681</v>
      </c>
      <c r="G5">
        <v>38.197251876756752</v>
      </c>
      <c r="H5">
        <v>39.219505703636358</v>
      </c>
      <c r="I5" s="23"/>
    </row>
    <row r="6" spans="1:9" x14ac:dyDescent="0.2">
      <c r="B6">
        <v>16.065679554285715</v>
      </c>
      <c r="C6">
        <v>52.712695911627904</v>
      </c>
      <c r="D6">
        <v>20.010930472727271</v>
      </c>
      <c r="E6">
        <v>66.667437769333333</v>
      </c>
      <c r="F6">
        <v>20.210125166451611</v>
      </c>
      <c r="G6">
        <v>38.600852913488367</v>
      </c>
      <c r="H6">
        <v>52.507983975999991</v>
      </c>
      <c r="I6" s="23"/>
    </row>
    <row r="7" spans="1:9" x14ac:dyDescent="0.2">
      <c r="B7">
        <v>42.648048662222223</v>
      </c>
      <c r="C7">
        <v>1.8473412381395347</v>
      </c>
      <c r="D7">
        <v>23.627502659764708</v>
      </c>
      <c r="E7">
        <v>34.554477796363628</v>
      </c>
      <c r="F7">
        <v>75.869454939999997</v>
      </c>
      <c r="G7">
        <v>31.290235497499996</v>
      </c>
      <c r="H7">
        <v>16.144102358461534</v>
      </c>
      <c r="I7" s="23"/>
    </row>
    <row r="8" spans="1:9" x14ac:dyDescent="0.2">
      <c r="B8">
        <v>38.089559075555556</v>
      </c>
      <c r="C8">
        <v>3.5995579319148936</v>
      </c>
      <c r="D8">
        <v>7.802834892222223</v>
      </c>
      <c r="E8">
        <v>22.836815253333331</v>
      </c>
      <c r="F8">
        <v>29.878105195555555</v>
      </c>
      <c r="G8">
        <v>29.534920606896552</v>
      </c>
      <c r="H8">
        <v>68.893599131428573</v>
      </c>
      <c r="I8" s="23"/>
    </row>
    <row r="9" spans="1:9" x14ac:dyDescent="0.2">
      <c r="B9">
        <v>62.949520315596317</v>
      </c>
      <c r="C9">
        <v>62.92636972363637</v>
      </c>
      <c r="D9">
        <v>25.396648183529408</v>
      </c>
      <c r="E9">
        <v>396.33607926243894</v>
      </c>
      <c r="F9">
        <v>38.306020059999987</v>
      </c>
      <c r="G9">
        <v>49.696471445773192</v>
      </c>
      <c r="H9">
        <v>18.918081726249998</v>
      </c>
      <c r="I9" s="23"/>
    </row>
    <row r="10" spans="1:9" x14ac:dyDescent="0.2">
      <c r="B10">
        <v>76.644757056000003</v>
      </c>
      <c r="C10">
        <v>63.159424219733339</v>
      </c>
      <c r="D10">
        <v>28.523131740173913</v>
      </c>
      <c r="E10">
        <v>134.25526939999997</v>
      </c>
      <c r="F10">
        <v>46.577062377831318</v>
      </c>
      <c r="G10">
        <v>81.568074086896544</v>
      </c>
      <c r="H10">
        <v>326.37602761417719</v>
      </c>
      <c r="I10" s="23"/>
    </row>
    <row r="11" spans="1:9" x14ac:dyDescent="0.2">
      <c r="C11">
        <v>62.570864637931031</v>
      </c>
      <c r="D11">
        <v>18.398025711999999</v>
      </c>
      <c r="E11">
        <v>77.910960787692289</v>
      </c>
      <c r="F11">
        <v>35.047935163146057</v>
      </c>
      <c r="G11">
        <v>17.457463254</v>
      </c>
      <c r="H11">
        <v>66.530798224905652</v>
      </c>
      <c r="I11" s="23"/>
    </row>
    <row r="12" spans="1:9" x14ac:dyDescent="0.2">
      <c r="C12">
        <v>122.13135225747126</v>
      </c>
      <c r="D12">
        <v>20.690989108196717</v>
      </c>
      <c r="E12">
        <v>82.027452560000015</v>
      </c>
      <c r="F12">
        <v>378.25814591249997</v>
      </c>
      <c r="G12">
        <v>53.888561795384604</v>
      </c>
      <c r="H12">
        <v>98.806421905333337</v>
      </c>
      <c r="I12" s="23"/>
    </row>
    <row r="13" spans="1:9" x14ac:dyDescent="0.2">
      <c r="C13">
        <v>109.60088649831326</v>
      </c>
      <c r="D13">
        <v>15.200549420000002</v>
      </c>
      <c r="G13">
        <v>39.220399886315796</v>
      </c>
      <c r="H13">
        <v>35.985447637735852</v>
      </c>
      <c r="I13" s="23"/>
    </row>
    <row r="14" spans="1:9" x14ac:dyDescent="0.2">
      <c r="C14">
        <v>14.638827725454545</v>
      </c>
      <c r="D14">
        <v>2.73226104</v>
      </c>
      <c r="G14">
        <v>10.971009676666666</v>
      </c>
      <c r="H14">
        <v>35.004048092929288</v>
      </c>
      <c r="I14" s="23"/>
    </row>
    <row r="15" spans="1:9" x14ac:dyDescent="0.2">
      <c r="I15" s="23"/>
    </row>
    <row r="16" spans="1:9" x14ac:dyDescent="0.2">
      <c r="A16" s="21"/>
      <c r="B16" s="21"/>
      <c r="C16" s="21"/>
      <c r="D16" s="21"/>
      <c r="E16" s="21"/>
      <c r="F16" s="21"/>
      <c r="G16" s="21"/>
      <c r="H16" s="21"/>
      <c r="I16" s="23"/>
    </row>
    <row r="17" spans="1:9" x14ac:dyDescent="0.2">
      <c r="A17" s="20" t="s">
        <v>23</v>
      </c>
      <c r="B17">
        <v>39.878694216068233</v>
      </c>
      <c r="C17">
        <v>58.83491818828282</v>
      </c>
      <c r="D17">
        <v>16.436846983328568</v>
      </c>
      <c r="E17">
        <v>120.68749286990682</v>
      </c>
      <c r="F17">
        <v>76.509973814407118</v>
      </c>
      <c r="G17">
        <v>38.228809524334402</v>
      </c>
      <c r="H17">
        <v>72.623609908605033</v>
      </c>
    </row>
    <row r="18" spans="1:9" x14ac:dyDescent="0.2">
      <c r="A18" s="20" t="s">
        <v>34</v>
      </c>
      <c r="B18">
        <v>23.342510521749123</v>
      </c>
      <c r="C18">
        <v>39.515666706222397</v>
      </c>
      <c r="D18">
        <v>8.699354783395961</v>
      </c>
      <c r="E18">
        <v>114.05068363279443</v>
      </c>
      <c r="F18">
        <v>114.56577064932777</v>
      </c>
      <c r="G18">
        <v>19.027681839195253</v>
      </c>
      <c r="H18">
        <v>87.471572028945133</v>
      </c>
    </row>
    <row r="19" spans="1:9" x14ac:dyDescent="0.2">
      <c r="A19" s="20" t="s">
        <v>35</v>
      </c>
      <c r="B19">
        <v>8.822639688065248</v>
      </c>
      <c r="C19">
        <v>11.914421800479882</v>
      </c>
      <c r="D19">
        <v>2.622954157700716</v>
      </c>
      <c r="E19">
        <v>38.016894544264808</v>
      </c>
      <c r="F19">
        <v>38.188590216442591</v>
      </c>
      <c r="G19">
        <v>5.7370619355336547</v>
      </c>
      <c r="H19">
        <v>26.373671294777946</v>
      </c>
    </row>
    <row r="22" spans="1:9" x14ac:dyDescent="0.2">
      <c r="A22" s="20" t="s">
        <v>31</v>
      </c>
      <c r="B22" s="20" t="s">
        <v>33</v>
      </c>
    </row>
    <row r="23" spans="1:9" x14ac:dyDescent="0.2">
      <c r="B23" s="20" t="s">
        <v>0</v>
      </c>
      <c r="C23" s="20" t="s">
        <v>2</v>
      </c>
      <c r="D23" s="20" t="s">
        <v>1</v>
      </c>
      <c r="E23" s="20" t="s">
        <v>3</v>
      </c>
      <c r="F23" s="20" t="s">
        <v>20</v>
      </c>
      <c r="G23" s="20" t="s">
        <v>5</v>
      </c>
      <c r="H23" s="20" t="s">
        <v>6</v>
      </c>
    </row>
    <row r="24" spans="1:9" x14ac:dyDescent="0.2">
      <c r="A24" s="21"/>
      <c r="B24" s="22" t="s">
        <v>30</v>
      </c>
      <c r="C24" s="22" t="s">
        <v>28</v>
      </c>
      <c r="D24" s="22" t="s">
        <v>29</v>
      </c>
      <c r="E24" s="22" t="s">
        <v>27</v>
      </c>
      <c r="F24" s="22" t="s">
        <v>26</v>
      </c>
      <c r="G24" s="22" t="s">
        <v>25</v>
      </c>
      <c r="H24" s="22" t="s">
        <v>24</v>
      </c>
    </row>
    <row r="25" spans="1:9" x14ac:dyDescent="0.2">
      <c r="B25">
        <v>0.45237311716666667</v>
      </c>
      <c r="C25">
        <v>2.2546089116651657</v>
      </c>
      <c r="D25">
        <v>1.1568418103174603</v>
      </c>
      <c r="E25">
        <v>3.8514546507128307</v>
      </c>
      <c r="F25">
        <v>1.6706665710508475</v>
      </c>
      <c r="G25">
        <v>1.9359975485358256</v>
      </c>
      <c r="H25">
        <v>1.7059784088944721</v>
      </c>
      <c r="I25" s="23"/>
    </row>
    <row r="26" spans="1:9" x14ac:dyDescent="0.2">
      <c r="B26">
        <v>1.4712473529184547</v>
      </c>
      <c r="C26">
        <v>3.6990184666956512</v>
      </c>
      <c r="D26">
        <v>0.17803030446483176</v>
      </c>
      <c r="E26">
        <v>8.0746052745382162</v>
      </c>
      <c r="F26">
        <v>1.6154083997389033</v>
      </c>
      <c r="G26">
        <v>2.2606359908047686</v>
      </c>
      <c r="H26">
        <v>2.7335046191114456</v>
      </c>
      <c r="I26" s="23"/>
    </row>
    <row r="27" spans="1:9" x14ac:dyDescent="0.2">
      <c r="B27">
        <v>0.84627962131108447</v>
      </c>
      <c r="C27">
        <v>3.5508664635988194</v>
      </c>
      <c r="D27">
        <v>0.82069768755681816</v>
      </c>
      <c r="E27">
        <v>4.2739500177903036</v>
      </c>
      <c r="F27">
        <v>1.6438466967950962</v>
      </c>
      <c r="G27">
        <v>2.9068792267346937</v>
      </c>
      <c r="H27">
        <v>0.76226936910730381</v>
      </c>
      <c r="I27" s="23"/>
    </row>
    <row r="28" spans="1:9" x14ac:dyDescent="0.2">
      <c r="B28">
        <v>1.3151833398576511</v>
      </c>
      <c r="C28">
        <v>2.4775453898253272</v>
      </c>
      <c r="D28">
        <v>0.50650422966921105</v>
      </c>
      <c r="E28">
        <v>2.7037920323030908</v>
      </c>
      <c r="F28">
        <v>3.1504445809040589</v>
      </c>
      <c r="G28">
        <v>1.1765996668656715</v>
      </c>
      <c r="H28">
        <v>1.5722741786666665</v>
      </c>
      <c r="I28" s="23"/>
    </row>
    <row r="29" spans="1:9" x14ac:dyDescent="0.2">
      <c r="B29">
        <v>0.70501605299492387</v>
      </c>
      <c r="C29">
        <v>2.5070557690600221</v>
      </c>
      <c r="D29">
        <v>0.65801276835233147</v>
      </c>
      <c r="E29">
        <v>1.8951249422574625</v>
      </c>
      <c r="F29">
        <v>0.95804260463414637</v>
      </c>
      <c r="G29">
        <v>1.5745593304197527</v>
      </c>
      <c r="H29">
        <v>1.8837371358943085</v>
      </c>
      <c r="I29" s="23"/>
    </row>
    <row r="30" spans="1:9" x14ac:dyDescent="0.2">
      <c r="B30">
        <v>1.3986113686161448</v>
      </c>
      <c r="C30">
        <v>2.7997402276876873</v>
      </c>
      <c r="D30">
        <v>0.76393212422672052</v>
      </c>
      <c r="E30">
        <v>2.5266141028697566</v>
      </c>
      <c r="F30">
        <v>4.2266493368807332</v>
      </c>
      <c r="G30">
        <v>1.9278374546153842</v>
      </c>
      <c r="H30">
        <v>1.5869572951987529</v>
      </c>
      <c r="I30" s="23"/>
    </row>
    <row r="31" spans="1:9" x14ac:dyDescent="0.2">
      <c r="B31">
        <v>0.80283243593846143</v>
      </c>
      <c r="C31">
        <v>5.401797035050798</v>
      </c>
      <c r="D31">
        <v>2.1658579432405061</v>
      </c>
      <c r="E31">
        <v>2.9174268893193713</v>
      </c>
      <c r="F31">
        <v>2.2029608147547166</v>
      </c>
      <c r="G31">
        <v>1.8832214283606554</v>
      </c>
      <c r="H31">
        <v>4.0918464993922647</v>
      </c>
      <c r="I31" s="23"/>
    </row>
    <row r="32" spans="1:9" x14ac:dyDescent="0.2">
      <c r="C32">
        <v>5.7978887043199991</v>
      </c>
      <c r="D32">
        <v>0.4550327096935301</v>
      </c>
      <c r="E32">
        <v>2.2862420735730331</v>
      </c>
      <c r="F32">
        <v>2.4886991394974869</v>
      </c>
      <c r="G32">
        <v>2.9503043698630136</v>
      </c>
      <c r="H32">
        <v>2.3662444003428571</v>
      </c>
      <c r="I32" s="23"/>
    </row>
    <row r="33" spans="1:9" x14ac:dyDescent="0.2">
      <c r="C33">
        <v>4.0130405761218828</v>
      </c>
      <c r="D33">
        <v>0.57636437189918976</v>
      </c>
      <c r="E33">
        <v>1.9862829814842295</v>
      </c>
      <c r="F33">
        <v>8.1893965257349404</v>
      </c>
      <c r="G33">
        <v>2.207937614140969</v>
      </c>
      <c r="H33">
        <v>1.8718172433731548</v>
      </c>
      <c r="I33" s="23"/>
    </row>
    <row r="34" spans="1:9" x14ac:dyDescent="0.2">
      <c r="C34">
        <v>5.6663801210274567</v>
      </c>
      <c r="D34">
        <v>0.45571409948006925</v>
      </c>
      <c r="E34">
        <v>2.9702172098352122</v>
      </c>
      <c r="F34">
        <v>1.2685477026419212</v>
      </c>
      <c r="G34">
        <v>4.062807477607655</v>
      </c>
      <c r="H34">
        <v>1.8802769932458563</v>
      </c>
      <c r="I34" s="23"/>
    </row>
    <row r="35" spans="1:9" x14ac:dyDescent="0.2">
      <c r="C35">
        <v>0.76503386616541347</v>
      </c>
      <c r="D35">
        <v>0.6272448467424242</v>
      </c>
      <c r="F35">
        <v>3.3094470423580775</v>
      </c>
      <c r="G35">
        <v>1.0348628829810902</v>
      </c>
      <c r="H35">
        <v>2.1193104853631284</v>
      </c>
      <c r="I35" s="23"/>
    </row>
    <row r="36" spans="1:9" x14ac:dyDescent="0.2">
      <c r="D36">
        <v>0.16279521107843137</v>
      </c>
      <c r="F36">
        <v>3.7285060542701727</v>
      </c>
      <c r="I36" s="23"/>
    </row>
    <row r="37" spans="1:9" x14ac:dyDescent="0.2">
      <c r="A37" s="21"/>
      <c r="B37" s="21"/>
      <c r="C37" s="21"/>
      <c r="D37" s="21"/>
      <c r="E37" s="21"/>
      <c r="F37" s="21"/>
      <c r="G37" s="21"/>
      <c r="H37" s="21"/>
      <c r="I37" s="23"/>
    </row>
    <row r="38" spans="1:9" x14ac:dyDescent="0.2">
      <c r="A38" s="20" t="s">
        <v>23</v>
      </c>
      <c r="B38">
        <v>0.99879189840048377</v>
      </c>
      <c r="C38">
        <v>3.5393614119289292</v>
      </c>
      <c r="D38">
        <v>0.7603848086948265</v>
      </c>
      <c r="E38">
        <v>3.348571017468351</v>
      </c>
      <c r="F38">
        <v>2.793100855908266</v>
      </c>
      <c r="G38">
        <v>2.1746948173572256</v>
      </c>
      <c r="H38">
        <v>2.052201511690019</v>
      </c>
    </row>
    <row r="39" spans="1:9" x14ac:dyDescent="0.2">
      <c r="A39" s="20" t="s">
        <v>34</v>
      </c>
      <c r="B39">
        <v>0.3936392483215353</v>
      </c>
      <c r="C39">
        <v>1.594723966112463</v>
      </c>
      <c r="D39">
        <v>0.52800655114891049</v>
      </c>
      <c r="E39">
        <v>1.8245816867784017</v>
      </c>
      <c r="F39">
        <v>2.0413134563009763</v>
      </c>
      <c r="G39">
        <v>0.87003273644265966</v>
      </c>
      <c r="H39">
        <v>0.83955385270103189</v>
      </c>
    </row>
    <row r="40" spans="1:9" x14ac:dyDescent="0.2">
      <c r="A40" s="20" t="s">
        <v>35</v>
      </c>
      <c r="B40">
        <v>0.14878165104759741</v>
      </c>
      <c r="C40">
        <v>0.48082736725295266</v>
      </c>
      <c r="D40">
        <v>0.1524223622198547</v>
      </c>
      <c r="E40">
        <v>0.60819389559280057</v>
      </c>
      <c r="F40">
        <v>0.58927643674788699</v>
      </c>
      <c r="G40">
        <v>0.26232474019149737</v>
      </c>
      <c r="H40">
        <v>0.25313501097332985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B32FB-42C1-3947-8658-735B4D2BAABE}">
  <dimension ref="A3:Z33"/>
  <sheetViews>
    <sheetView zoomScale="59" zoomScaleNormal="193" workbookViewId="0">
      <selection activeCell="L11" sqref="L11:Y11"/>
    </sheetView>
  </sheetViews>
  <sheetFormatPr baseColWidth="10" defaultRowHeight="16" x14ac:dyDescent="0.2"/>
  <sheetData>
    <row r="3" spans="1:26" x14ac:dyDescent="0.2">
      <c r="A3" s="20" t="s">
        <v>36</v>
      </c>
      <c r="B3" s="29">
        <v>45478</v>
      </c>
      <c r="C3" s="29">
        <v>45479</v>
      </c>
      <c r="D3" s="29">
        <v>45480</v>
      </c>
      <c r="E3" s="29">
        <v>45481</v>
      </c>
      <c r="F3" s="29">
        <v>45482</v>
      </c>
      <c r="G3" s="29">
        <v>45483</v>
      </c>
      <c r="H3" s="30">
        <v>45484</v>
      </c>
      <c r="I3" s="29">
        <v>45485</v>
      </c>
      <c r="J3" s="29">
        <v>45486</v>
      </c>
      <c r="K3" s="29">
        <v>45487</v>
      </c>
      <c r="L3" s="29">
        <v>45488</v>
      </c>
      <c r="M3" s="29">
        <v>45489</v>
      </c>
      <c r="N3" s="29">
        <v>45490</v>
      </c>
      <c r="O3" s="29">
        <v>45491</v>
      </c>
      <c r="P3" s="29">
        <v>45492</v>
      </c>
      <c r="Q3" s="29">
        <v>45493</v>
      </c>
      <c r="R3" s="29">
        <v>45494</v>
      </c>
      <c r="S3" s="29">
        <v>45495</v>
      </c>
      <c r="T3" s="29">
        <v>45496</v>
      </c>
      <c r="U3" s="29">
        <v>45497</v>
      </c>
      <c r="V3" s="29">
        <v>45498</v>
      </c>
      <c r="W3" s="29">
        <v>45499</v>
      </c>
      <c r="X3" s="29">
        <v>45500</v>
      </c>
      <c r="Y3" s="29">
        <v>45501</v>
      </c>
      <c r="Z3" s="29">
        <v>45502</v>
      </c>
    </row>
    <row r="4" spans="1:26" x14ac:dyDescent="0.2">
      <c r="A4" s="20" t="s">
        <v>0</v>
      </c>
      <c r="B4">
        <v>0.66750000000000009</v>
      </c>
      <c r="C4">
        <v>0.65666666666666662</v>
      </c>
      <c r="D4">
        <v>0.63916666666666655</v>
      </c>
      <c r="E4">
        <v>0.63083333333333336</v>
      </c>
      <c r="F4">
        <v>0.62583333333333335</v>
      </c>
      <c r="G4">
        <v>0.61250000000000004</v>
      </c>
      <c r="H4">
        <v>0.59750000000000003</v>
      </c>
      <c r="I4">
        <v>0.63500000000000001</v>
      </c>
      <c r="J4">
        <v>0.63916666666666666</v>
      </c>
      <c r="K4">
        <v>0.60416666666666663</v>
      </c>
      <c r="L4">
        <v>0.64583333333333337</v>
      </c>
      <c r="M4">
        <v>0.64666666666666672</v>
      </c>
      <c r="N4">
        <v>0.64416666666666678</v>
      </c>
      <c r="O4">
        <v>0.6333333333333333</v>
      </c>
      <c r="P4">
        <v>0.64166666666666672</v>
      </c>
      <c r="Q4">
        <v>0.6349999999999999</v>
      </c>
      <c r="R4">
        <v>0.63583333333333336</v>
      </c>
      <c r="S4">
        <v>0.63583333333333336</v>
      </c>
      <c r="T4">
        <v>0.63083333333333347</v>
      </c>
      <c r="U4">
        <v>0.63583333333333336</v>
      </c>
      <c r="V4">
        <v>0.65166666666666673</v>
      </c>
      <c r="W4">
        <v>0.63249999999999995</v>
      </c>
      <c r="X4">
        <v>0.6366666666666666</v>
      </c>
      <c r="Y4">
        <v>0.64083333333333325</v>
      </c>
      <c r="Z4">
        <v>0.65083333333333337</v>
      </c>
    </row>
    <row r="5" spans="1:26" x14ac:dyDescent="0.2">
      <c r="A5" s="20" t="s">
        <v>1</v>
      </c>
      <c r="B5">
        <v>0.65749999999999997</v>
      </c>
      <c r="C5">
        <v>0.65749999999999997</v>
      </c>
      <c r="D5">
        <v>0.65166666666666673</v>
      </c>
      <c r="E5">
        <v>0.61</v>
      </c>
      <c r="F5">
        <v>0.61499999999999988</v>
      </c>
      <c r="G5">
        <v>0.61166666666666669</v>
      </c>
      <c r="H5">
        <v>0.64</v>
      </c>
      <c r="I5">
        <v>0.64083333333333325</v>
      </c>
      <c r="J5">
        <v>0.63583333333333325</v>
      </c>
      <c r="K5">
        <v>0.60833333333333328</v>
      </c>
      <c r="L5">
        <v>0.64250000000000007</v>
      </c>
      <c r="M5">
        <v>0.6366666666666666</v>
      </c>
      <c r="N5">
        <v>0.64333333333333331</v>
      </c>
      <c r="O5">
        <v>0.62250000000000005</v>
      </c>
      <c r="P5">
        <v>0.61416666666666664</v>
      </c>
      <c r="Q5">
        <v>0.60666666666666658</v>
      </c>
      <c r="R5">
        <v>0.59750000000000003</v>
      </c>
      <c r="S5">
        <v>0.58166666666666667</v>
      </c>
      <c r="T5">
        <v>0.50583333333333325</v>
      </c>
      <c r="U5">
        <v>0.47</v>
      </c>
      <c r="V5">
        <v>0.3691666666666667</v>
      </c>
      <c r="W5">
        <v>0.35583333333333339</v>
      </c>
      <c r="X5">
        <v>0.38749999999999996</v>
      </c>
      <c r="Y5">
        <v>0.33500000000000002</v>
      </c>
      <c r="Z5">
        <v>0.2175</v>
      </c>
    </row>
    <row r="6" spans="1:26" x14ac:dyDescent="0.2">
      <c r="A6" s="20" t="s">
        <v>2</v>
      </c>
      <c r="B6">
        <v>0.64666666666666661</v>
      </c>
      <c r="C6">
        <v>0.63833333333333331</v>
      </c>
      <c r="D6">
        <v>0.66583333333333339</v>
      </c>
      <c r="E6">
        <v>0.62</v>
      </c>
      <c r="F6">
        <v>0.62916666666666665</v>
      </c>
      <c r="G6">
        <v>0.59916666666666651</v>
      </c>
      <c r="H6">
        <v>0.61333333333333317</v>
      </c>
      <c r="I6">
        <v>0.64</v>
      </c>
      <c r="J6">
        <v>0.60166666666666668</v>
      </c>
      <c r="K6">
        <v>0.65166666666666662</v>
      </c>
      <c r="L6">
        <v>0.64333333333333331</v>
      </c>
      <c r="M6">
        <v>0.65083333333333326</v>
      </c>
      <c r="N6">
        <v>0.65416666666666667</v>
      </c>
      <c r="O6">
        <v>0.63833333333333331</v>
      </c>
      <c r="P6">
        <v>0.63833333333333331</v>
      </c>
      <c r="Q6">
        <v>0.63916666666666666</v>
      </c>
      <c r="R6">
        <v>0.64416666666666667</v>
      </c>
      <c r="S6">
        <v>0.63583333333333336</v>
      </c>
      <c r="T6">
        <v>0.64</v>
      </c>
      <c r="U6">
        <v>0.64583333333333337</v>
      </c>
      <c r="V6">
        <v>0.64666666666666661</v>
      </c>
      <c r="W6">
        <v>0.64916666666666667</v>
      </c>
      <c r="X6">
        <v>0.64583333333333337</v>
      </c>
      <c r="Y6">
        <v>0.6399999999999999</v>
      </c>
      <c r="Z6">
        <v>0.65</v>
      </c>
    </row>
    <row r="7" spans="1:26" x14ac:dyDescent="0.2">
      <c r="A7" s="20" t="s">
        <v>3</v>
      </c>
      <c r="B7">
        <v>0.65083333333333326</v>
      </c>
      <c r="C7">
        <v>0.63833333333333331</v>
      </c>
      <c r="D7">
        <v>0.62583333333333335</v>
      </c>
      <c r="E7">
        <v>0.62666666666666659</v>
      </c>
      <c r="F7">
        <v>0.62249999999999994</v>
      </c>
      <c r="G7">
        <v>0.58333333333333337</v>
      </c>
      <c r="H7">
        <v>0.60416666666666663</v>
      </c>
      <c r="I7">
        <v>0.63916666666666666</v>
      </c>
      <c r="J7">
        <v>0.63249999999999995</v>
      </c>
      <c r="K7">
        <v>0.61750000000000005</v>
      </c>
      <c r="L7">
        <v>0.63166666666666671</v>
      </c>
      <c r="M7">
        <v>0.63166666666666671</v>
      </c>
      <c r="N7">
        <v>0.63916666666666677</v>
      </c>
      <c r="O7">
        <v>0.61833333333333329</v>
      </c>
      <c r="P7">
        <v>0.61083333333333323</v>
      </c>
      <c r="Q7">
        <v>0.59083333333333343</v>
      </c>
      <c r="R7">
        <v>0.58833333333333349</v>
      </c>
      <c r="S7">
        <v>0.56500000000000006</v>
      </c>
      <c r="T7">
        <v>0.5033333333333333</v>
      </c>
      <c r="U7">
        <v>0.5083333333333333</v>
      </c>
      <c r="V7">
        <v>0.48333333333333339</v>
      </c>
      <c r="W7">
        <v>0.4366666666666667</v>
      </c>
      <c r="X7">
        <v>0.38666666666666666</v>
      </c>
      <c r="Y7">
        <v>0.33666666666666667</v>
      </c>
      <c r="Z7">
        <v>0.36000000000000004</v>
      </c>
    </row>
    <row r="8" spans="1:26" x14ac:dyDescent="0.2">
      <c r="A8" s="20" t="s">
        <v>20</v>
      </c>
      <c r="B8">
        <v>0.6416666666666665</v>
      </c>
      <c r="C8">
        <v>0.63166666666666671</v>
      </c>
      <c r="D8">
        <v>0.66833333333333333</v>
      </c>
      <c r="E8">
        <v>0.63583333333333336</v>
      </c>
      <c r="F8">
        <v>0.63916666666666666</v>
      </c>
      <c r="G8">
        <v>0.58583333333333332</v>
      </c>
      <c r="H8">
        <v>0.58750000000000002</v>
      </c>
      <c r="I8">
        <v>0.61499999999999988</v>
      </c>
      <c r="J8">
        <v>0.625</v>
      </c>
      <c r="K8">
        <v>0.6283333333333333</v>
      </c>
      <c r="L8">
        <v>0.63333333333333341</v>
      </c>
      <c r="M8">
        <v>0.6366666666666666</v>
      </c>
      <c r="N8">
        <v>0.62916666666666665</v>
      </c>
      <c r="O8">
        <v>0.61583333333333334</v>
      </c>
      <c r="P8">
        <v>0.60499999999999998</v>
      </c>
      <c r="Q8">
        <v>0.57750000000000001</v>
      </c>
      <c r="R8">
        <v>0.58916666666666673</v>
      </c>
      <c r="S8">
        <v>0.56416666666666671</v>
      </c>
      <c r="T8">
        <v>0.52083333333333337</v>
      </c>
      <c r="U8">
        <v>0.52416666666666656</v>
      </c>
      <c r="V8">
        <v>0.47583333333333316</v>
      </c>
      <c r="W8">
        <v>0.40916666666666668</v>
      </c>
      <c r="X8">
        <v>0.42250000000000004</v>
      </c>
      <c r="Y8">
        <v>0.32666666666666666</v>
      </c>
      <c r="Z8">
        <v>0.29083333333333333</v>
      </c>
    </row>
    <row r="9" spans="1:26" x14ac:dyDescent="0.2">
      <c r="A9" s="20" t="s">
        <v>5</v>
      </c>
      <c r="B9">
        <v>0.62250000000000005</v>
      </c>
      <c r="C9">
        <v>0.65</v>
      </c>
      <c r="D9">
        <v>0.64333333333333331</v>
      </c>
      <c r="E9">
        <v>0.67</v>
      </c>
      <c r="F9">
        <v>0.64166666666666672</v>
      </c>
      <c r="G9">
        <v>0.59500000000000008</v>
      </c>
      <c r="H9">
        <v>0.64916666666666678</v>
      </c>
      <c r="I9">
        <v>0.62249999999999994</v>
      </c>
      <c r="J9">
        <v>0.64333333333333342</v>
      </c>
      <c r="K9">
        <v>0.60833333333333328</v>
      </c>
      <c r="L9">
        <v>0.64749999999999996</v>
      </c>
      <c r="M9">
        <v>0.60749999999999993</v>
      </c>
      <c r="N9">
        <v>0.63583333333333336</v>
      </c>
      <c r="O9">
        <v>0.61166666666666669</v>
      </c>
      <c r="P9">
        <v>0.62</v>
      </c>
      <c r="Q9">
        <v>0.59833333333333338</v>
      </c>
      <c r="R9">
        <v>0.57818181818181824</v>
      </c>
      <c r="S9">
        <v>0.54500000000000004</v>
      </c>
      <c r="T9">
        <v>0.49416666666666664</v>
      </c>
      <c r="U9">
        <v>0.46166666666666661</v>
      </c>
      <c r="V9">
        <v>0.3924999999999999</v>
      </c>
      <c r="W9">
        <v>0.41500000000000004</v>
      </c>
      <c r="X9">
        <v>0.41083333333333338</v>
      </c>
      <c r="Y9">
        <v>0.42499999999999999</v>
      </c>
      <c r="Z9">
        <v>0.34</v>
      </c>
    </row>
    <row r="10" spans="1:26" x14ac:dyDescent="0.2">
      <c r="A10" s="20" t="s">
        <v>6</v>
      </c>
      <c r="B10">
        <v>0.67166666666666652</v>
      </c>
      <c r="C10">
        <v>0.64166666666666661</v>
      </c>
      <c r="D10">
        <v>0.65166666666666673</v>
      </c>
      <c r="E10">
        <v>0.64</v>
      </c>
      <c r="F10">
        <v>0.62249999999999994</v>
      </c>
      <c r="G10">
        <v>0.60750000000000004</v>
      </c>
      <c r="H10">
        <v>0.59666666666666668</v>
      </c>
      <c r="I10">
        <v>0.60666666666666658</v>
      </c>
      <c r="J10">
        <v>0.63083333333333336</v>
      </c>
      <c r="K10">
        <v>0.62083333333333324</v>
      </c>
      <c r="L10">
        <v>0.61916666666666664</v>
      </c>
      <c r="M10">
        <v>0.61916666666666675</v>
      </c>
      <c r="N10">
        <v>0.61583333333333334</v>
      </c>
      <c r="O10">
        <v>0.6</v>
      </c>
      <c r="P10">
        <v>0.60583333333333322</v>
      </c>
      <c r="Q10">
        <v>0.58666666666666667</v>
      </c>
      <c r="R10">
        <v>0.58333333333333337</v>
      </c>
      <c r="S10">
        <v>0.55500000000000005</v>
      </c>
      <c r="T10">
        <v>0.52249999999999985</v>
      </c>
      <c r="U10">
        <v>0.52166666666666661</v>
      </c>
      <c r="V10">
        <v>0.49666666666666676</v>
      </c>
      <c r="W10">
        <v>0.46500000000000002</v>
      </c>
      <c r="X10">
        <v>0.45500000000000002</v>
      </c>
      <c r="Y10">
        <v>0.39909090909090905</v>
      </c>
      <c r="Z10">
        <v>0.40727272727272729</v>
      </c>
    </row>
    <row r="11" spans="1:26" x14ac:dyDescent="0.2">
      <c r="A11" s="20"/>
      <c r="L11" s="20" t="s">
        <v>16</v>
      </c>
      <c r="M11" s="20"/>
      <c r="N11" s="20" t="s">
        <v>16</v>
      </c>
      <c r="O11" s="20"/>
      <c r="P11" s="20" t="s">
        <v>16</v>
      </c>
      <c r="Q11" s="20"/>
      <c r="R11" s="20" t="s">
        <v>37</v>
      </c>
      <c r="S11" s="20"/>
      <c r="T11" s="20" t="s">
        <v>16</v>
      </c>
      <c r="U11" s="20"/>
      <c r="V11" s="20" t="s">
        <v>16</v>
      </c>
      <c r="W11" s="20"/>
      <c r="X11" s="20" t="s">
        <v>38</v>
      </c>
      <c r="Y11" s="20"/>
    </row>
    <row r="12" spans="1:26" x14ac:dyDescent="0.2">
      <c r="A12" s="20" t="s">
        <v>34</v>
      </c>
      <c r="B12" s="29">
        <v>45478</v>
      </c>
      <c r="C12" s="29">
        <v>45479</v>
      </c>
      <c r="D12" s="29">
        <v>45480</v>
      </c>
      <c r="E12" s="29">
        <v>45481</v>
      </c>
      <c r="F12" s="29">
        <v>45482</v>
      </c>
      <c r="G12" s="29">
        <v>45483</v>
      </c>
      <c r="H12" s="30">
        <v>45484</v>
      </c>
      <c r="I12" s="29">
        <v>45485</v>
      </c>
      <c r="J12" s="29">
        <v>45486</v>
      </c>
      <c r="K12" s="29">
        <v>45487</v>
      </c>
      <c r="L12" s="29">
        <v>45488</v>
      </c>
      <c r="M12" s="29">
        <v>45489</v>
      </c>
      <c r="N12" s="29">
        <v>45490</v>
      </c>
      <c r="O12" s="29">
        <v>45491</v>
      </c>
      <c r="P12" s="29">
        <v>45492</v>
      </c>
      <c r="Q12" s="29">
        <v>45493</v>
      </c>
      <c r="R12" s="29">
        <v>45494</v>
      </c>
      <c r="S12" s="29">
        <v>45495</v>
      </c>
      <c r="T12" s="29">
        <v>45496</v>
      </c>
      <c r="U12" s="29">
        <v>45497</v>
      </c>
      <c r="V12" s="29">
        <v>45498</v>
      </c>
      <c r="W12" s="29">
        <v>45499</v>
      </c>
      <c r="X12" s="29">
        <v>45500</v>
      </c>
      <c r="Y12" s="29">
        <v>45501</v>
      </c>
      <c r="Z12" s="29">
        <v>45502</v>
      </c>
    </row>
    <row r="13" spans="1:26" x14ac:dyDescent="0.2">
      <c r="A13" s="20" t="s">
        <v>0</v>
      </c>
      <c r="B13">
        <v>3.7203372281164354E-2</v>
      </c>
      <c r="C13">
        <v>4.638442789897438E-2</v>
      </c>
      <c r="D13">
        <v>5.4682277889198404E-2</v>
      </c>
      <c r="E13">
        <v>4.6604395682914898E-2</v>
      </c>
      <c r="F13">
        <v>6.0371325724196005E-2</v>
      </c>
      <c r="G13">
        <v>6.3263518138598054E-2</v>
      </c>
      <c r="H13">
        <v>4.6734258409553343E-2</v>
      </c>
      <c r="I13">
        <v>3.0600059417648817E-2</v>
      </c>
      <c r="J13">
        <v>2.5390883594254274E-2</v>
      </c>
      <c r="K13">
        <v>4.4611114255883752E-2</v>
      </c>
      <c r="L13">
        <v>2.5746432527221884E-2</v>
      </c>
      <c r="M13">
        <v>2.3868325657594221E-2</v>
      </c>
      <c r="N13">
        <v>3.1176428547376903E-2</v>
      </c>
      <c r="O13">
        <v>2.6742316936860879E-2</v>
      </c>
      <c r="P13">
        <v>3.7132033054868945E-2</v>
      </c>
      <c r="Q13">
        <v>2.611164839335468E-2</v>
      </c>
      <c r="R13">
        <v>2.9374798516394771E-2</v>
      </c>
      <c r="S13">
        <v>2.9682665076785245E-2</v>
      </c>
      <c r="T13">
        <v>2.9987371079213069E-2</v>
      </c>
      <c r="U13">
        <v>3.6545944516540571E-2</v>
      </c>
      <c r="V13">
        <v>2.9180732539042815E-2</v>
      </c>
      <c r="W13">
        <v>2.9580398915498105E-2</v>
      </c>
      <c r="X13">
        <v>3.6762958960278924E-2</v>
      </c>
      <c r="Y13">
        <v>3.2321772378645502E-2</v>
      </c>
      <c r="Z13">
        <v>2.7455197664338158E-2</v>
      </c>
    </row>
    <row r="14" spans="1:26" x14ac:dyDescent="0.2">
      <c r="A14" s="20" t="s">
        <v>39</v>
      </c>
      <c r="B14">
        <v>2.9580398915498074E-2</v>
      </c>
      <c r="C14">
        <v>3.0488447886789085E-2</v>
      </c>
      <c r="D14">
        <v>3.1861442452461489E-2</v>
      </c>
      <c r="E14">
        <v>2.9232609437842769E-2</v>
      </c>
      <c r="F14">
        <v>5.7128244884963542E-2</v>
      </c>
      <c r="G14">
        <v>3.3257489473208987E-2</v>
      </c>
      <c r="H14">
        <v>6.266795614405124E-2</v>
      </c>
      <c r="I14">
        <v>3.3154825052206592E-2</v>
      </c>
      <c r="J14">
        <v>2.6443192398846731E-2</v>
      </c>
      <c r="K14">
        <v>4.4072942293704918E-2</v>
      </c>
      <c r="L14">
        <v>1.8647446815241848E-2</v>
      </c>
      <c r="M14">
        <v>3.312053286059418E-2</v>
      </c>
      <c r="N14">
        <v>2.2696949467968512E-2</v>
      </c>
      <c r="O14">
        <v>3.3608710992024921E-2</v>
      </c>
      <c r="P14">
        <v>3.0289011909011562E-2</v>
      </c>
      <c r="Q14">
        <v>2.3094010767585053E-2</v>
      </c>
      <c r="R14">
        <v>3.6212755161180943E-2</v>
      </c>
      <c r="S14">
        <v>5.2019809746486061E-2</v>
      </c>
      <c r="T14">
        <v>0.10130586748988837</v>
      </c>
      <c r="U14">
        <v>0.11747340124470719</v>
      </c>
      <c r="V14">
        <v>0.1411935057309863</v>
      </c>
      <c r="W14">
        <v>0.17301909160727336</v>
      </c>
      <c r="X14">
        <v>0.20846298995701423</v>
      </c>
      <c r="Y14">
        <v>0.18705857128426132</v>
      </c>
      <c r="Z14">
        <v>0.17184162899177097</v>
      </c>
    </row>
    <row r="15" spans="1:26" x14ac:dyDescent="0.2">
      <c r="A15" s="20" t="s">
        <v>2</v>
      </c>
      <c r="B15">
        <v>4.8492423650660615E-2</v>
      </c>
      <c r="C15">
        <v>6.117535649609443E-2</v>
      </c>
      <c r="D15">
        <v>3.9186809778368782E-2</v>
      </c>
      <c r="E15">
        <v>6.7419986246324684E-2</v>
      </c>
      <c r="F15">
        <v>4.6992907266238955E-2</v>
      </c>
      <c r="G15">
        <v>4.6408920250183366E-2</v>
      </c>
      <c r="H15">
        <v>5.7260700998048218E-2</v>
      </c>
      <c r="I15">
        <v>3.045115313535315E-2</v>
      </c>
      <c r="J15">
        <v>4.0414518843273822E-2</v>
      </c>
      <c r="K15">
        <v>2.7579087378049011E-2</v>
      </c>
      <c r="L15">
        <v>3.3393884397468904E-2</v>
      </c>
      <c r="M15">
        <v>2.7455197664338172E-2</v>
      </c>
      <c r="N15">
        <v>2.1933093855190766E-2</v>
      </c>
      <c r="O15">
        <v>2.9180732539042832E-2</v>
      </c>
      <c r="P15">
        <v>3.0401355631656066E-2</v>
      </c>
      <c r="Q15">
        <v>2.5390883594254274E-2</v>
      </c>
      <c r="R15">
        <v>3.1176428547376896E-2</v>
      </c>
      <c r="S15">
        <v>2.8749176536296706E-2</v>
      </c>
      <c r="T15">
        <v>2.0889318714683761E-2</v>
      </c>
      <c r="U15">
        <v>2.7122058561364067E-2</v>
      </c>
      <c r="V15">
        <v>3.4200832880164921E-2</v>
      </c>
      <c r="W15">
        <v>2.9987371079213062E-2</v>
      </c>
      <c r="X15">
        <v>4.5418925437297475E-2</v>
      </c>
      <c r="Y15">
        <v>2.5226248955475674E-2</v>
      </c>
      <c r="Z15">
        <v>3.1042492870843433E-2</v>
      </c>
    </row>
    <row r="16" spans="1:26" x14ac:dyDescent="0.2">
      <c r="A16" s="20" t="s">
        <v>3</v>
      </c>
      <c r="B16">
        <v>3.6793856535947411E-2</v>
      </c>
      <c r="C16">
        <v>4.6677487922850751E-2</v>
      </c>
      <c r="D16">
        <v>3.3427896171076082E-2</v>
      </c>
      <c r="E16">
        <v>5.6300061897807646E-2</v>
      </c>
      <c r="F16">
        <v>4.266678503771458E-2</v>
      </c>
      <c r="G16">
        <v>6.1101009266077852E-2</v>
      </c>
      <c r="H16">
        <v>7.1916407703456711E-2</v>
      </c>
      <c r="I16">
        <v>4.6604395682914898E-2</v>
      </c>
      <c r="J16">
        <v>3.8168287645874051E-2</v>
      </c>
      <c r="K16">
        <v>3.0488447886789095E-2</v>
      </c>
      <c r="L16">
        <v>3.4067668846078411E-2</v>
      </c>
      <c r="M16">
        <v>1.9924098397912454E-2</v>
      </c>
      <c r="N16">
        <v>2.1514618004482178E-2</v>
      </c>
      <c r="O16">
        <v>2.6911752530120073E-2</v>
      </c>
      <c r="P16">
        <v>2.0207259421636918E-2</v>
      </c>
      <c r="Q16">
        <v>3.3698754585385793E-2</v>
      </c>
      <c r="R16">
        <v>2.4432963327637867E-2</v>
      </c>
      <c r="S16">
        <v>3.9657625656704054E-2</v>
      </c>
      <c r="T16">
        <v>9.3743686656109423E-2</v>
      </c>
      <c r="U16">
        <v>0.12081791960205972</v>
      </c>
      <c r="V16">
        <v>0.14086314011274956</v>
      </c>
      <c r="W16">
        <v>0.16505279228908631</v>
      </c>
      <c r="X16">
        <v>0.17742262504761871</v>
      </c>
      <c r="Y16">
        <v>0.16521794604996662</v>
      </c>
      <c r="Z16">
        <v>0.15267315058349626</v>
      </c>
    </row>
    <row r="17" spans="1:26" x14ac:dyDescent="0.2">
      <c r="A17" s="20" t="s">
        <v>20</v>
      </c>
      <c r="B17">
        <v>8.9222228511768822E-2</v>
      </c>
      <c r="C17">
        <v>8.7576806117241987E-2</v>
      </c>
      <c r="D17">
        <v>3.6139460511476998E-2</v>
      </c>
      <c r="E17">
        <v>5.0173939873446684E-2</v>
      </c>
      <c r="F17">
        <v>4.4814432199162514E-2</v>
      </c>
      <c r="G17">
        <v>6.8152013687762289E-2</v>
      </c>
      <c r="H17">
        <v>5.9562801081944353E-2</v>
      </c>
      <c r="I17">
        <v>2.393172105652399E-2</v>
      </c>
      <c r="J17">
        <v>4.3797052619803288E-2</v>
      </c>
      <c r="K17">
        <v>5.0241839379569123E-2</v>
      </c>
      <c r="L17">
        <v>1.9227505550564024E-2</v>
      </c>
      <c r="M17">
        <v>4.1414387779508649E-2</v>
      </c>
      <c r="N17">
        <v>3.3698754585385807E-2</v>
      </c>
      <c r="O17">
        <v>5.0354801763149257E-2</v>
      </c>
      <c r="P17">
        <v>3.5802488486391296E-2</v>
      </c>
      <c r="Q17">
        <v>4.3510709235564271E-2</v>
      </c>
      <c r="R17">
        <v>3.3698754585385786E-2</v>
      </c>
      <c r="S17">
        <v>4.5817490374773076E-2</v>
      </c>
      <c r="T17">
        <v>0.11413375991140888</v>
      </c>
      <c r="U17">
        <v>0.11649879697649144</v>
      </c>
      <c r="V17">
        <v>0.13937903411745725</v>
      </c>
      <c r="W17">
        <v>0.154828840003953</v>
      </c>
      <c r="X17">
        <v>0.16597508027630914</v>
      </c>
      <c r="Y17">
        <v>0.17946047087328348</v>
      </c>
      <c r="Z17">
        <v>0.19662878423028196</v>
      </c>
    </row>
    <row r="18" spans="1:26" x14ac:dyDescent="0.2">
      <c r="A18" s="20" t="s">
        <v>5</v>
      </c>
      <c r="B18">
        <v>5.3449211236632682E-2</v>
      </c>
      <c r="C18">
        <v>3.4641016151377574E-2</v>
      </c>
      <c r="D18">
        <v>4.6188021535170064E-2</v>
      </c>
      <c r="E18">
        <v>7.1858446710433413E-2</v>
      </c>
      <c r="F18">
        <v>4.4890439017139461E-2</v>
      </c>
      <c r="G18">
        <v>4.7577687665925544E-2</v>
      </c>
      <c r="H18">
        <v>6.215206181518669E-2</v>
      </c>
      <c r="I18">
        <v>3.4673804626442831E-2</v>
      </c>
      <c r="J18">
        <v>4.4381268229929716E-2</v>
      </c>
      <c r="K18">
        <v>4.4890439017139447E-2</v>
      </c>
      <c r="L18">
        <v>1.9128750375000753E-2</v>
      </c>
      <c r="M18">
        <v>2.7344602259445537E-2</v>
      </c>
      <c r="N18">
        <v>1.6213537179739293E-2</v>
      </c>
      <c r="O18">
        <v>3.2427074359478565E-2</v>
      </c>
      <c r="P18">
        <v>1.858640754569172E-2</v>
      </c>
      <c r="Q18">
        <v>3.0698929011029715E-2</v>
      </c>
      <c r="R18">
        <v>4.2852813634155169E-2</v>
      </c>
      <c r="S18">
        <v>4.337992832887326E-2</v>
      </c>
      <c r="T18">
        <v>8.8570293946091366E-2</v>
      </c>
      <c r="U18">
        <v>0.12690965529092224</v>
      </c>
      <c r="V18">
        <v>0.17152391828970853</v>
      </c>
      <c r="W18">
        <v>0.17911398097808584</v>
      </c>
      <c r="X18">
        <v>0.17291397405716624</v>
      </c>
      <c r="Y18">
        <v>0.14798648586948751</v>
      </c>
      <c r="Z18">
        <v>0.16068037160207777</v>
      </c>
    </row>
    <row r="19" spans="1:26" x14ac:dyDescent="0.2">
      <c r="A19" s="20" t="s">
        <v>6</v>
      </c>
      <c r="B19">
        <v>4.3866187710381498E-2</v>
      </c>
      <c r="C19">
        <v>6.4361667492570787E-2</v>
      </c>
      <c r="D19">
        <v>7.4569471371373916E-2</v>
      </c>
      <c r="E19">
        <v>7.4711566586561778E-2</v>
      </c>
      <c r="F19">
        <v>9.196096009621918E-2</v>
      </c>
      <c r="G19">
        <v>7.1239034243875329E-2</v>
      </c>
      <c r="H19">
        <v>5.0871198018906418E-2</v>
      </c>
      <c r="I19">
        <v>2.9024545516239234E-2</v>
      </c>
      <c r="J19">
        <v>4.100073909163842E-2</v>
      </c>
      <c r="K19">
        <v>3.7284735685686674E-2</v>
      </c>
      <c r="L19">
        <v>4.1221868276952504E-2</v>
      </c>
      <c r="M19">
        <v>3.2321772378645482E-2</v>
      </c>
      <c r="N19">
        <v>3.3698754585385834E-2</v>
      </c>
      <c r="O19">
        <v>3.6680438185149107E-2</v>
      </c>
      <c r="P19">
        <v>1.7816403745544246E-2</v>
      </c>
      <c r="Q19">
        <v>2.7080128015453193E-2</v>
      </c>
      <c r="R19">
        <v>3.6265017787828452E-2</v>
      </c>
      <c r="S19">
        <v>2.5761140573281344E-2</v>
      </c>
      <c r="T19">
        <v>5.7068539334893288E-2</v>
      </c>
      <c r="U19">
        <v>7.9981058363650701E-2</v>
      </c>
      <c r="V19">
        <v>0.11039872638703155</v>
      </c>
      <c r="W19">
        <v>0.14500783677881929</v>
      </c>
      <c r="X19">
        <v>0.13201239611215579</v>
      </c>
      <c r="Y19">
        <v>0.18452395754776924</v>
      </c>
      <c r="Z19">
        <v>0.19985449252348111</v>
      </c>
    </row>
    <row r="20" spans="1:26" x14ac:dyDescent="0.2">
      <c r="A20" s="20"/>
    </row>
    <row r="21" spans="1:26" x14ac:dyDescent="0.2">
      <c r="A21" s="20"/>
    </row>
    <row r="22" spans="1:26" x14ac:dyDescent="0.2">
      <c r="A22" s="20"/>
    </row>
    <row r="23" spans="1:26" x14ac:dyDescent="0.2">
      <c r="A23" s="20"/>
    </row>
    <row r="24" spans="1:26" x14ac:dyDescent="0.2">
      <c r="A24" s="20"/>
    </row>
    <row r="25" spans="1:26" x14ac:dyDescent="0.2">
      <c r="A25" s="20"/>
      <c r="B25" s="20"/>
      <c r="C25" s="20"/>
      <c r="D25" s="20"/>
      <c r="E25" s="20"/>
      <c r="F25" s="20"/>
      <c r="G25" s="20"/>
      <c r="H25" s="20"/>
      <c r="I25" s="20">
        <v>27</v>
      </c>
      <c r="J25" s="20">
        <v>27.5</v>
      </c>
      <c r="K25" s="20">
        <v>28</v>
      </c>
      <c r="L25" s="20">
        <v>28.5</v>
      </c>
      <c r="M25" s="20">
        <v>29</v>
      </c>
      <c r="N25" s="20">
        <v>29.5</v>
      </c>
      <c r="O25" s="20">
        <v>30</v>
      </c>
      <c r="P25" s="20">
        <v>30.5</v>
      </c>
      <c r="Q25" s="20">
        <v>31</v>
      </c>
      <c r="R25" s="20">
        <v>31.5</v>
      </c>
      <c r="S25" s="31">
        <v>32</v>
      </c>
      <c r="T25" s="31">
        <v>32</v>
      </c>
      <c r="U25" s="31">
        <v>32</v>
      </c>
      <c r="V25" s="31">
        <v>32</v>
      </c>
      <c r="W25" s="31">
        <v>32</v>
      </c>
      <c r="X25" s="31">
        <v>32</v>
      </c>
      <c r="Y25" s="31">
        <v>32</v>
      </c>
      <c r="Z25" s="31">
        <v>32</v>
      </c>
    </row>
    <row r="26" spans="1:26" x14ac:dyDescent="0.2">
      <c r="A26" s="20" t="s">
        <v>35</v>
      </c>
      <c r="B26" s="29">
        <v>45478</v>
      </c>
      <c r="C26" s="29">
        <v>45479</v>
      </c>
      <c r="D26" s="29">
        <v>45480</v>
      </c>
      <c r="E26" s="29">
        <v>45481</v>
      </c>
      <c r="F26" s="29">
        <v>45482</v>
      </c>
      <c r="G26" s="29">
        <v>45483</v>
      </c>
      <c r="H26" s="30">
        <v>45484</v>
      </c>
      <c r="I26" s="29">
        <v>45485</v>
      </c>
      <c r="J26" s="29">
        <v>45486</v>
      </c>
      <c r="K26" s="29">
        <v>45487</v>
      </c>
      <c r="L26" s="29">
        <v>45488</v>
      </c>
      <c r="M26" s="29">
        <v>45489</v>
      </c>
      <c r="N26" s="29">
        <v>45490</v>
      </c>
      <c r="O26" s="29">
        <v>45491</v>
      </c>
      <c r="P26" s="29">
        <v>45492</v>
      </c>
      <c r="Q26" s="29">
        <v>45493</v>
      </c>
      <c r="R26" s="29">
        <v>45494</v>
      </c>
      <c r="S26" s="29">
        <v>45495</v>
      </c>
      <c r="T26" s="29">
        <v>45496</v>
      </c>
      <c r="U26" s="29">
        <v>45497</v>
      </c>
      <c r="V26" s="29">
        <v>45498</v>
      </c>
      <c r="W26" s="29">
        <v>45499</v>
      </c>
      <c r="X26" s="29">
        <v>45500</v>
      </c>
      <c r="Y26" s="29">
        <v>45501</v>
      </c>
      <c r="Z26" s="29">
        <v>45502</v>
      </c>
    </row>
    <row r="27" spans="1:26" x14ac:dyDescent="0.2">
      <c r="A27" s="20" t="s">
        <v>0</v>
      </c>
      <c r="B27">
        <v>1.0739688500646051E-2</v>
      </c>
      <c r="C27">
        <v>1.3390030966839824E-2</v>
      </c>
      <c r="D27">
        <v>1.578541392961531E-2</v>
      </c>
      <c r="E27">
        <v>1.3453530196475376E-2</v>
      </c>
      <c r="F27">
        <v>1.7427700579099571E-2</v>
      </c>
      <c r="G27">
        <v>1.8262604613601182E-2</v>
      </c>
      <c r="H27">
        <v>1.3491018336566577E-2</v>
      </c>
      <c r="I27">
        <v>8.8334762709990442E-3</v>
      </c>
      <c r="J27">
        <v>7.3297167390525796E-3</v>
      </c>
      <c r="K27">
        <v>1.2878119412241819E-2</v>
      </c>
      <c r="L27">
        <v>7.4323548751320462E-3</v>
      </c>
      <c r="M27">
        <v>6.8901921217588381E-3</v>
      </c>
      <c r="N27">
        <v>8.9998597070995948E-3</v>
      </c>
      <c r="O27">
        <v>7.7198419411254587E-3</v>
      </c>
      <c r="P27">
        <v>1.0719094639893335E-2</v>
      </c>
      <c r="Q27">
        <v>7.5377836144440921E-3</v>
      </c>
      <c r="R27">
        <v>8.4797739154157704E-3</v>
      </c>
      <c r="S27">
        <v>8.5686473361737334E-3</v>
      </c>
      <c r="T27">
        <v>8.6566083824364329E-3</v>
      </c>
      <c r="U27">
        <v>1.0549905452206914E-2</v>
      </c>
      <c r="V27">
        <v>8.4237518932834213E-3</v>
      </c>
      <c r="W27">
        <v>8.5391256382996734E-3</v>
      </c>
      <c r="X27">
        <v>1.0612552125962101E-2</v>
      </c>
      <c r="Y27">
        <v>9.3304919917483967E-3</v>
      </c>
      <c r="Z27">
        <v>7.9256328810800112E-3</v>
      </c>
    </row>
    <row r="28" spans="1:26" x14ac:dyDescent="0.2">
      <c r="A28" s="20" t="s">
        <v>39</v>
      </c>
      <c r="B28">
        <v>8.5391256382996647E-3</v>
      </c>
      <c r="C28">
        <v>8.8012567973057773E-3</v>
      </c>
      <c r="D28">
        <v>9.1976061883492066E-3</v>
      </c>
      <c r="E28">
        <v>8.4387274640268586E-3</v>
      </c>
      <c r="F28">
        <v>1.6491503781332281E-2</v>
      </c>
      <c r="G28">
        <v>9.6006102499641768E-3</v>
      </c>
      <c r="H28">
        <v>1.8090680674665825E-2</v>
      </c>
      <c r="I28">
        <v>9.5709735844132122E-3</v>
      </c>
      <c r="J28">
        <v>7.6334921248536131E-3</v>
      </c>
      <c r="K28">
        <v>1.2722762548624689E-2</v>
      </c>
      <c r="L28">
        <v>5.3830542192395553E-3</v>
      </c>
      <c r="M28">
        <v>9.5610742813839484E-3</v>
      </c>
      <c r="N28">
        <v>6.5520449425574773E-3</v>
      </c>
      <c r="O28">
        <v>9.701999169180962E-3</v>
      </c>
      <c r="P28">
        <v>8.7436845895778031E-3</v>
      </c>
      <c r="Q28">
        <v>6.6666666666666732E-3</v>
      </c>
      <c r="R28">
        <v>1.0453721970202914E-2</v>
      </c>
      <c r="S28">
        <v>1.5016825580163424E-2</v>
      </c>
      <c r="T28">
        <v>2.9244484932887806E-2</v>
      </c>
      <c r="U28">
        <v>3.3911649915626306E-2</v>
      </c>
      <c r="V28">
        <v>4.0759054270805957E-2</v>
      </c>
      <c r="W28">
        <v>4.9946309557201897E-2</v>
      </c>
      <c r="X28">
        <v>6.0178081683878212E-2</v>
      </c>
      <c r="Y28">
        <v>5.3999158242597538E-2</v>
      </c>
      <c r="Z28">
        <v>4.9606405378191387E-2</v>
      </c>
    </row>
    <row r="29" spans="1:26" x14ac:dyDescent="0.2">
      <c r="A29" s="20" t="s">
        <v>2</v>
      </c>
      <c r="B29">
        <v>1.3998556924183142E-2</v>
      </c>
      <c r="C29">
        <v>1.7659804270395721E-2</v>
      </c>
      <c r="D29">
        <v>1.1312257587111938E-2</v>
      </c>
      <c r="E29">
        <v>1.9462473604038213E-2</v>
      </c>
      <c r="F29">
        <v>1.3565683830083091E-2</v>
      </c>
      <c r="G29">
        <v>1.3397101299621621E-2</v>
      </c>
      <c r="H29">
        <v>1.6529740567604905E-2</v>
      </c>
      <c r="I29">
        <v>8.7904907299153293E-3</v>
      </c>
      <c r="J29">
        <v>1.1666666666666672E-2</v>
      </c>
      <c r="K29">
        <v>7.9613967608604033E-3</v>
      </c>
      <c r="L29">
        <v>9.6399840730829588E-3</v>
      </c>
      <c r="M29">
        <v>7.9256328810800147E-3</v>
      </c>
      <c r="N29">
        <v>6.3315388207278583E-3</v>
      </c>
      <c r="O29">
        <v>8.4237518932834266E-3</v>
      </c>
      <c r="P29">
        <v>8.7761154288330881E-3</v>
      </c>
      <c r="Q29">
        <v>7.3297167390525796E-3</v>
      </c>
      <c r="R29">
        <v>8.9998597070995931E-3</v>
      </c>
      <c r="S29">
        <v>8.2991724061054883E-3</v>
      </c>
      <c r="T29">
        <v>6.0302268915552789E-3</v>
      </c>
      <c r="U29">
        <v>7.8294639056901705E-3</v>
      </c>
      <c r="V29">
        <v>9.872930034936311E-3</v>
      </c>
      <c r="W29">
        <v>8.6566083824364311E-3</v>
      </c>
      <c r="X29">
        <v>1.311131441376362E-2</v>
      </c>
      <c r="Y29">
        <v>7.2821908125441986E-3</v>
      </c>
      <c r="Z29">
        <v>8.9611958076492478E-3</v>
      </c>
    </row>
    <row r="30" spans="1:26" x14ac:dyDescent="0.2">
      <c r="A30" s="20" t="s">
        <v>3</v>
      </c>
      <c r="B30">
        <v>1.0621471487776856E-2</v>
      </c>
      <c r="C30">
        <v>1.3474630108676694E-2</v>
      </c>
      <c r="D30">
        <v>9.6498024264068186E-3</v>
      </c>
      <c r="E30">
        <v>1.6252427946045919E-2</v>
      </c>
      <c r="F30">
        <v>1.2316839913490205E-2</v>
      </c>
      <c r="G30">
        <v>1.7638342073763934E-2</v>
      </c>
      <c r="H30">
        <v>2.0760478673370806E-2</v>
      </c>
      <c r="I30">
        <v>1.3453530196475376E-2</v>
      </c>
      <c r="J30">
        <v>1.1018235573426226E-2</v>
      </c>
      <c r="K30">
        <v>8.8012567973057808E-3</v>
      </c>
      <c r="L30">
        <v>9.8344888894731988E-3</v>
      </c>
      <c r="M30">
        <v>5.7515917866976735E-3</v>
      </c>
      <c r="N30">
        <v>6.2107352481998775E-3</v>
      </c>
      <c r="O30">
        <v>7.7687537838147091E-3</v>
      </c>
      <c r="P30">
        <v>5.8333333333333388E-3</v>
      </c>
      <c r="Q30">
        <v>9.7279925156138116E-3</v>
      </c>
      <c r="R30">
        <v>7.0531889771559891E-3</v>
      </c>
      <c r="S30">
        <v>1.1448170424159748E-2</v>
      </c>
      <c r="T30">
        <v>2.7061471362866355E-2</v>
      </c>
      <c r="U30">
        <v>3.4877129202589875E-2</v>
      </c>
      <c r="V30">
        <v>4.0663685931495969E-2</v>
      </c>
      <c r="W30">
        <v>4.7646637029301692E-2</v>
      </c>
      <c r="X30">
        <v>5.1217500165786356E-2</v>
      </c>
      <c r="Y30">
        <v>4.7694312813452648E-2</v>
      </c>
      <c r="Z30">
        <v>4.4072942293704918E-2</v>
      </c>
    </row>
    <row r="31" spans="1:26" x14ac:dyDescent="0.2">
      <c r="A31" s="20" t="s">
        <v>20</v>
      </c>
      <c r="B31">
        <v>2.5756238824484017E-2</v>
      </c>
      <c r="C31">
        <v>2.5281246293278666E-2</v>
      </c>
      <c r="D31">
        <v>1.0432563627334548E-2</v>
      </c>
      <c r="E31">
        <v>1.4483968846119272E-2</v>
      </c>
      <c r="F31">
        <v>1.2936812246883356E-2</v>
      </c>
      <c r="G31">
        <v>1.967379172422231E-2</v>
      </c>
      <c r="H31">
        <v>1.7194299619174354E-2</v>
      </c>
      <c r="I31">
        <v>6.9084927970775806E-3</v>
      </c>
      <c r="J31">
        <v>1.2643120059877817E-2</v>
      </c>
      <c r="K31">
        <v>1.4503569745188087E-2</v>
      </c>
      <c r="L31">
        <v>5.5505027527315816E-3</v>
      </c>
      <c r="M31">
        <v>1.1955303966411434E-2</v>
      </c>
      <c r="N31">
        <v>9.7279925156138168E-3</v>
      </c>
      <c r="O31">
        <v>1.4536179176472234E-2</v>
      </c>
      <c r="P31">
        <v>1.0335288182638246E-2</v>
      </c>
      <c r="Q31">
        <v>1.2560459844892284E-2</v>
      </c>
      <c r="R31">
        <v>9.7279925156138099E-3</v>
      </c>
      <c r="S31">
        <v>1.3226370200734161E-2</v>
      </c>
      <c r="T31">
        <v>3.2947578504238018E-2</v>
      </c>
      <c r="U31">
        <v>3.3630305897322452E-2</v>
      </c>
      <c r="V31">
        <v>4.0235261433551994E-2</v>
      </c>
      <c r="W31">
        <v>4.4695236227299887E-2</v>
      </c>
      <c r="X31">
        <v>4.7912878638148415E-2</v>
      </c>
      <c r="Y31">
        <v>5.1805775583793609E-2</v>
      </c>
      <c r="Z31">
        <v>5.676184075289107E-2</v>
      </c>
    </row>
    <row r="32" spans="1:26" x14ac:dyDescent="0.2">
      <c r="A32" s="20" t="s">
        <v>5</v>
      </c>
      <c r="B32">
        <v>1.5429458247721526E-2</v>
      </c>
      <c r="C32">
        <v>1.0000000000000009E-2</v>
      </c>
      <c r="D32">
        <v>1.3333333333333334E-2</v>
      </c>
      <c r="E32">
        <v>2.0743746775908557E-2</v>
      </c>
      <c r="F32">
        <v>1.2958753525292974E-2</v>
      </c>
      <c r="G32">
        <v>1.3734495390671026E-2</v>
      </c>
      <c r="H32">
        <v>1.7941754809844151E-2</v>
      </c>
      <c r="I32">
        <v>1.0009465217452631E-2</v>
      </c>
      <c r="J32">
        <v>1.2811768579763454E-2</v>
      </c>
      <c r="K32">
        <v>1.2958753525292971E-2</v>
      </c>
      <c r="L32">
        <v>5.5219945891339202E-3</v>
      </c>
      <c r="M32">
        <v>7.8937067376870645E-3</v>
      </c>
      <c r="N32">
        <v>4.6804450276192438E-3</v>
      </c>
      <c r="O32">
        <v>9.3608900552384806E-3</v>
      </c>
      <c r="P32">
        <v>5.3654336998866037E-3</v>
      </c>
      <c r="Q32">
        <v>8.8620174641756092E-3</v>
      </c>
      <c r="R32">
        <v>1.2370541743606177E-2</v>
      </c>
      <c r="S32">
        <v>1.2522706649050825E-2</v>
      </c>
      <c r="T32">
        <v>2.5568041525990067E-2</v>
      </c>
      <c r="U32">
        <v>3.6635661822488286E-2</v>
      </c>
      <c r="V32">
        <v>4.9514690198511298E-2</v>
      </c>
      <c r="W32">
        <v>5.170575256666169E-2</v>
      </c>
      <c r="X32">
        <v>4.9915964734276452E-2</v>
      </c>
      <c r="Y32">
        <v>4.2720018726587684E-2</v>
      </c>
      <c r="Z32">
        <v>4.6384427898974352E-2</v>
      </c>
    </row>
    <row r="33" spans="1:26" x14ac:dyDescent="0.2">
      <c r="A33" s="20" t="s">
        <v>6</v>
      </c>
      <c r="B33">
        <v>1.2663077641455706E-2</v>
      </c>
      <c r="C33">
        <v>1.8579613026164465E-2</v>
      </c>
      <c r="D33">
        <v>2.1526352184795414E-2</v>
      </c>
      <c r="E33">
        <v>2.1567371540165046E-2</v>
      </c>
      <c r="F33">
        <v>2.654684253324429E-2</v>
      </c>
      <c r="G33">
        <v>2.0564937798755196E-2</v>
      </c>
      <c r="H33">
        <v>1.4685249935107189E-2</v>
      </c>
      <c r="I33">
        <v>8.3786645834536336E-3</v>
      </c>
      <c r="J33">
        <v>1.1835893875765528E-2</v>
      </c>
      <c r="K33">
        <v>1.0763176092397624E-2</v>
      </c>
      <c r="L33">
        <v>1.1899728373098913E-2</v>
      </c>
      <c r="M33">
        <v>9.3304919917483898E-3</v>
      </c>
      <c r="N33">
        <v>9.7279925156138237E-3</v>
      </c>
      <c r="O33">
        <v>1.0588730430094633E-2</v>
      </c>
      <c r="P33">
        <v>5.143152749240514E-3</v>
      </c>
      <c r="Q33">
        <v>7.8173595997057133E-3</v>
      </c>
      <c r="R33">
        <v>1.0468808890984662E-2</v>
      </c>
      <c r="S33">
        <v>7.4366007223078878E-3</v>
      </c>
      <c r="T33">
        <v>1.6474268273629696E-2</v>
      </c>
      <c r="U33">
        <v>2.3088542788162452E-2</v>
      </c>
      <c r="V33">
        <v>3.1869367198872255E-2</v>
      </c>
      <c r="W33">
        <v>4.1860156799428318E-2</v>
      </c>
      <c r="X33">
        <v>3.8108696215860327E-2</v>
      </c>
      <c r="Y33">
        <v>5.3267478281069827E-2</v>
      </c>
      <c r="Z33">
        <v>5.7693022528593936E-2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35A01-B94D-1C4E-8284-8831146FAEF8}">
  <dimension ref="A1:I46"/>
  <sheetViews>
    <sheetView workbookViewId="0">
      <selection activeCell="B1" sqref="B1:I1"/>
    </sheetView>
  </sheetViews>
  <sheetFormatPr baseColWidth="10" defaultRowHeight="16" x14ac:dyDescent="0.2"/>
  <sheetData>
    <row r="1" spans="1:9" x14ac:dyDescent="0.2">
      <c r="A1" s="20" t="s">
        <v>41</v>
      </c>
      <c r="B1" s="20" t="s">
        <v>56</v>
      </c>
      <c r="C1" s="20" t="s">
        <v>62</v>
      </c>
      <c r="D1" s="20" t="s">
        <v>57</v>
      </c>
      <c r="E1" s="20" t="s">
        <v>58</v>
      </c>
      <c r="F1" s="20" t="s">
        <v>61</v>
      </c>
      <c r="G1" s="20" t="s">
        <v>63</v>
      </c>
      <c r="H1" s="20" t="s">
        <v>59</v>
      </c>
      <c r="I1" s="20" t="s">
        <v>60</v>
      </c>
    </row>
    <row r="2" spans="1:9" x14ac:dyDescent="0.2">
      <c r="A2" s="20" t="s">
        <v>42</v>
      </c>
      <c r="B2">
        <v>0.14532654</v>
      </c>
      <c r="D2">
        <v>0</v>
      </c>
      <c r="E2">
        <v>0.1836285</v>
      </c>
      <c r="F2">
        <v>0.26597599999999999</v>
      </c>
      <c r="G2">
        <v>0.2205481</v>
      </c>
      <c r="I2">
        <v>0.27074510000000002</v>
      </c>
    </row>
    <row r="3" spans="1:9" x14ac:dyDescent="0.2">
      <c r="A3" s="20" t="s">
        <v>43</v>
      </c>
      <c r="B3">
        <v>0.18852816</v>
      </c>
      <c r="D3">
        <v>0.16822419999999999</v>
      </c>
      <c r="E3">
        <v>0.1387496</v>
      </c>
      <c r="F3">
        <v>0.17048199999999999</v>
      </c>
      <c r="G3">
        <v>0.20068349999999999</v>
      </c>
      <c r="I3">
        <v>0.24006250000000001</v>
      </c>
    </row>
    <row r="4" spans="1:9" x14ac:dyDescent="0.2">
      <c r="A4" s="20" t="s">
        <v>44</v>
      </c>
      <c r="B4">
        <v>0.1979032405454885</v>
      </c>
      <c r="D4">
        <v>0</v>
      </c>
      <c r="E4">
        <v>0.1180472</v>
      </c>
      <c r="F4">
        <v>0.20074500000000001</v>
      </c>
      <c r="G4">
        <v>0</v>
      </c>
      <c r="I4">
        <v>0.18496109999999999</v>
      </c>
    </row>
    <row r="5" spans="1:9" x14ac:dyDescent="0.2">
      <c r="A5" s="20" t="s">
        <v>45</v>
      </c>
      <c r="B5">
        <v>0.17596508999999999</v>
      </c>
      <c r="D5">
        <v>0</v>
      </c>
      <c r="E5">
        <v>9.6500199999999994E-2</v>
      </c>
      <c r="F5">
        <v>0.21750359999999999</v>
      </c>
      <c r="G5">
        <v>0.2107532</v>
      </c>
      <c r="I5">
        <v>0.10783429999999999</v>
      </c>
    </row>
    <row r="6" spans="1:9" x14ac:dyDescent="0.2">
      <c r="A6" s="20" t="s">
        <v>46</v>
      </c>
      <c r="B6">
        <v>5.57521193</v>
      </c>
      <c r="D6">
        <v>7.1196246577724995</v>
      </c>
      <c r="E6">
        <v>4.1895133292728595</v>
      </c>
      <c r="F6">
        <v>8.4336004483316493</v>
      </c>
      <c r="G6">
        <v>4.6955931577089496</v>
      </c>
      <c r="I6">
        <v>2.9357769381445897</v>
      </c>
    </row>
    <row r="7" spans="1:9" x14ac:dyDescent="0.2">
      <c r="A7" s="20" t="s">
        <v>47</v>
      </c>
      <c r="B7">
        <v>5.1555832571278</v>
      </c>
      <c r="D7">
        <v>4.11466406053394</v>
      </c>
      <c r="E7">
        <v>3.6142450650762745</v>
      </c>
      <c r="F7">
        <v>6.0847522836888501</v>
      </c>
      <c r="G7">
        <v>3.033818417048785</v>
      </c>
      <c r="I7">
        <v>2.3261104875580498</v>
      </c>
    </row>
    <row r="8" spans="1:9" x14ac:dyDescent="0.2">
      <c r="A8" s="20" t="s">
        <v>48</v>
      </c>
      <c r="B8">
        <v>8.9558109223589994</v>
      </c>
      <c r="D8">
        <v>4.6424164828018997</v>
      </c>
      <c r="E8">
        <v>3.6517954567675148</v>
      </c>
      <c r="F8">
        <v>5.191023299691599</v>
      </c>
      <c r="G8">
        <v>2.4804868221335901</v>
      </c>
      <c r="I8">
        <v>1.7594544177627949</v>
      </c>
    </row>
    <row r="9" spans="1:9" x14ac:dyDescent="0.2">
      <c r="A9" s="20" t="s">
        <v>49</v>
      </c>
      <c r="B9">
        <v>8.8461692594381507</v>
      </c>
      <c r="D9">
        <v>4.0519800592945501</v>
      </c>
      <c r="E9">
        <v>2.54619511905757</v>
      </c>
      <c r="F9">
        <v>4.2378643976854207</v>
      </c>
      <c r="G9">
        <v>2.3598956033414149</v>
      </c>
      <c r="I9">
        <v>2.1605373632265601</v>
      </c>
    </row>
    <row r="10" spans="1:9" x14ac:dyDescent="0.2">
      <c r="A10" s="20" t="s">
        <v>50</v>
      </c>
      <c r="B10">
        <v>0</v>
      </c>
      <c r="D10">
        <v>0</v>
      </c>
      <c r="E10">
        <v>0</v>
      </c>
      <c r="F10">
        <v>7.0894373004830999</v>
      </c>
      <c r="G10">
        <v>3.3478074522989898</v>
      </c>
      <c r="I10">
        <v>3.86328241278816</v>
      </c>
    </row>
    <row r="11" spans="1:9" x14ac:dyDescent="0.2">
      <c r="A11" s="20" t="s">
        <v>51</v>
      </c>
      <c r="B11">
        <v>0</v>
      </c>
      <c r="D11">
        <v>0</v>
      </c>
      <c r="E11">
        <v>0</v>
      </c>
      <c r="F11">
        <v>7.7993818641975494</v>
      </c>
      <c r="G11">
        <v>3.7703683508835</v>
      </c>
      <c r="I11">
        <v>2.5457836491555104</v>
      </c>
    </row>
    <row r="12" spans="1:9" x14ac:dyDescent="0.2">
      <c r="A12" s="20" t="s">
        <v>52</v>
      </c>
      <c r="B12">
        <v>0.23234216187558748</v>
      </c>
      <c r="D12">
        <v>0</v>
      </c>
      <c r="E12">
        <v>0</v>
      </c>
      <c r="F12">
        <v>0</v>
      </c>
      <c r="G12">
        <v>5.6062995891046494</v>
      </c>
      <c r="I12">
        <v>3.06169440604305</v>
      </c>
    </row>
    <row r="13" spans="1:9" x14ac:dyDescent="0.2">
      <c r="A13" s="20" t="s">
        <v>53</v>
      </c>
      <c r="B13">
        <v>0.11329992335997799</v>
      </c>
      <c r="D13">
        <v>0</v>
      </c>
      <c r="E13">
        <v>0</v>
      </c>
      <c r="F13">
        <v>0</v>
      </c>
      <c r="G13">
        <v>5.9391123050368</v>
      </c>
      <c r="I13">
        <v>3.1353412736395097</v>
      </c>
    </row>
    <row r="14" spans="1:9" x14ac:dyDescent="0.2">
      <c r="A14" s="20" t="s">
        <v>54</v>
      </c>
      <c r="B14">
        <v>0</v>
      </c>
      <c r="C14">
        <v>20.107561</v>
      </c>
      <c r="D14">
        <v>0</v>
      </c>
      <c r="E14">
        <v>0.62608298708965504</v>
      </c>
      <c r="F14">
        <v>19.486430311535599</v>
      </c>
      <c r="G14">
        <v>0</v>
      </c>
      <c r="H14">
        <v>19.186454000000001</v>
      </c>
      <c r="I14">
        <v>0</v>
      </c>
    </row>
    <row r="15" spans="1:9" x14ac:dyDescent="0.2">
      <c r="A15" s="20" t="s">
        <v>55</v>
      </c>
      <c r="B15">
        <v>0.33657329254572954</v>
      </c>
      <c r="C15">
        <v>19.862966</v>
      </c>
      <c r="D15">
        <v>0.53285640000000001</v>
      </c>
      <c r="E15">
        <v>0.96915875193858003</v>
      </c>
      <c r="F15">
        <v>18.410217487131952</v>
      </c>
      <c r="G15">
        <v>0.54719185919862501</v>
      </c>
      <c r="H15">
        <v>19.006397</v>
      </c>
      <c r="I15">
        <v>0</v>
      </c>
    </row>
    <row r="41" spans="3:9" x14ac:dyDescent="0.2">
      <c r="C41" s="8"/>
      <c r="D41" s="8"/>
      <c r="E41" s="8"/>
      <c r="F41" s="8"/>
      <c r="G41" s="8"/>
      <c r="H41" s="8"/>
      <c r="I41" s="8"/>
    </row>
    <row r="42" spans="3:9" x14ac:dyDescent="0.2">
      <c r="C42" s="8"/>
      <c r="D42" s="8"/>
      <c r="E42" s="8"/>
      <c r="F42" s="8"/>
      <c r="G42" s="8"/>
      <c r="H42" s="8"/>
      <c r="I42" s="8"/>
    </row>
    <row r="45" spans="3:9" x14ac:dyDescent="0.2">
      <c r="D45" s="8"/>
    </row>
    <row r="46" spans="3:9" x14ac:dyDescent="0.2">
      <c r="D46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778AA-D2EF-4041-9331-0AAEA9A97B88}">
  <dimension ref="A1:CD115"/>
  <sheetViews>
    <sheetView tabSelected="1" topLeftCell="A17" zoomScale="68" workbookViewId="0">
      <selection activeCell="C53" sqref="C53"/>
    </sheetView>
  </sheetViews>
  <sheetFormatPr baseColWidth="10" defaultRowHeight="16" x14ac:dyDescent="0.2"/>
  <sheetData>
    <row r="1" spans="1:82" x14ac:dyDescent="0.2">
      <c r="A1" s="32" t="s">
        <v>41</v>
      </c>
      <c r="B1" s="33">
        <v>45477</v>
      </c>
      <c r="C1" s="32" t="s">
        <v>64</v>
      </c>
      <c r="D1" s="32" t="s">
        <v>65</v>
      </c>
      <c r="E1" s="20" t="s">
        <v>66</v>
      </c>
      <c r="F1" s="32" t="s">
        <v>67</v>
      </c>
      <c r="G1" s="32" t="s">
        <v>68</v>
      </c>
      <c r="H1" s="32" t="s">
        <v>69</v>
      </c>
      <c r="I1" s="32" t="s">
        <v>70</v>
      </c>
      <c r="J1" s="32" t="s">
        <v>71</v>
      </c>
      <c r="K1" s="32" t="s">
        <v>72</v>
      </c>
      <c r="L1" s="32" t="s">
        <v>73</v>
      </c>
      <c r="M1" s="32" t="s">
        <v>74</v>
      </c>
      <c r="N1" s="32" t="s">
        <v>75</v>
      </c>
      <c r="O1" s="32" t="s">
        <v>76</v>
      </c>
      <c r="P1" s="32" t="s">
        <v>77</v>
      </c>
      <c r="Q1" s="32" t="s">
        <v>78</v>
      </c>
      <c r="R1" s="32" t="s">
        <v>79</v>
      </c>
      <c r="S1" s="32" t="s">
        <v>80</v>
      </c>
      <c r="T1" s="32" t="s">
        <v>81</v>
      </c>
      <c r="U1" s="32" t="s">
        <v>82</v>
      </c>
      <c r="V1" s="32" t="s">
        <v>83</v>
      </c>
      <c r="W1" s="32" t="s">
        <v>84</v>
      </c>
      <c r="X1" s="32" t="s">
        <v>85</v>
      </c>
      <c r="Y1" s="33">
        <v>45500</v>
      </c>
      <c r="Z1" s="32" t="s">
        <v>86</v>
      </c>
      <c r="AA1" s="32" t="s">
        <v>87</v>
      </c>
      <c r="AB1" s="20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</row>
    <row r="2" spans="1:82" x14ac:dyDescent="0.2">
      <c r="A2" s="20" t="s">
        <v>88</v>
      </c>
      <c r="B2" s="20" t="s">
        <v>89</v>
      </c>
      <c r="C2" s="20" t="s">
        <v>90</v>
      </c>
      <c r="D2" s="20" t="s">
        <v>91</v>
      </c>
      <c r="E2" s="20" t="s">
        <v>89</v>
      </c>
      <c r="F2" s="20" t="s">
        <v>90</v>
      </c>
      <c r="G2" s="20" t="s">
        <v>91</v>
      </c>
      <c r="H2" s="20" t="s">
        <v>89</v>
      </c>
      <c r="I2" s="20" t="s">
        <v>90</v>
      </c>
      <c r="J2" s="20" t="s">
        <v>91</v>
      </c>
      <c r="K2" s="20" t="s">
        <v>89</v>
      </c>
      <c r="L2" s="20" t="s">
        <v>90</v>
      </c>
      <c r="M2" s="20" t="s">
        <v>91</v>
      </c>
      <c r="N2" s="20" t="s">
        <v>89</v>
      </c>
      <c r="O2" s="20" t="s">
        <v>90</v>
      </c>
      <c r="P2" s="20" t="s">
        <v>91</v>
      </c>
      <c r="Q2" s="20" t="s">
        <v>89</v>
      </c>
      <c r="R2" s="20" t="s">
        <v>90</v>
      </c>
      <c r="S2" s="20" t="s">
        <v>91</v>
      </c>
      <c r="T2" s="32" t="s">
        <v>89</v>
      </c>
      <c r="U2" s="20" t="s">
        <v>90</v>
      </c>
      <c r="V2" s="20" t="s">
        <v>91</v>
      </c>
      <c r="W2" s="20" t="s">
        <v>89</v>
      </c>
      <c r="X2" s="20" t="s">
        <v>90</v>
      </c>
      <c r="Y2" s="20" t="s">
        <v>91</v>
      </c>
      <c r="Z2" s="32" t="s">
        <v>89</v>
      </c>
      <c r="AA2" s="20" t="s">
        <v>90</v>
      </c>
      <c r="AB2" s="20" t="s">
        <v>91</v>
      </c>
      <c r="AC2" s="20" t="s">
        <v>89</v>
      </c>
      <c r="AD2" s="20" t="s">
        <v>90</v>
      </c>
      <c r="AE2" s="32" t="s">
        <v>91</v>
      </c>
      <c r="AF2" s="32" t="s">
        <v>89</v>
      </c>
      <c r="AG2" s="20" t="s">
        <v>90</v>
      </c>
      <c r="AH2" s="20" t="s">
        <v>91</v>
      </c>
      <c r="AI2" s="32" t="s">
        <v>89</v>
      </c>
      <c r="AJ2" s="20" t="s">
        <v>90</v>
      </c>
      <c r="AK2" s="20" t="s">
        <v>91</v>
      </c>
      <c r="AL2" s="20" t="s">
        <v>89</v>
      </c>
      <c r="AM2" s="32" t="s">
        <v>90</v>
      </c>
      <c r="AN2" s="20" t="s">
        <v>91</v>
      </c>
      <c r="AO2" s="20" t="s">
        <v>89</v>
      </c>
      <c r="AP2" s="20" t="s">
        <v>90</v>
      </c>
      <c r="AQ2" s="20" t="s">
        <v>91</v>
      </c>
      <c r="AR2" s="32" t="s">
        <v>89</v>
      </c>
      <c r="AS2" s="20" t="s">
        <v>90</v>
      </c>
      <c r="AT2" s="20" t="s">
        <v>91</v>
      </c>
      <c r="AU2" s="20" t="s">
        <v>89</v>
      </c>
      <c r="AV2" s="20" t="s">
        <v>90</v>
      </c>
      <c r="AW2" s="20" t="s">
        <v>91</v>
      </c>
      <c r="AX2" s="20" t="s">
        <v>89</v>
      </c>
      <c r="AY2" s="32" t="s">
        <v>92</v>
      </c>
      <c r="AZ2" s="20" t="s">
        <v>91</v>
      </c>
      <c r="BA2" s="32" t="s">
        <v>89</v>
      </c>
      <c r="BB2" s="20" t="s">
        <v>90</v>
      </c>
      <c r="BC2" s="20" t="s">
        <v>91</v>
      </c>
      <c r="BD2" s="32" t="s">
        <v>89</v>
      </c>
      <c r="BE2" s="20" t="s">
        <v>90</v>
      </c>
      <c r="BF2" s="20" t="s">
        <v>91</v>
      </c>
      <c r="BG2" s="32" t="s">
        <v>89</v>
      </c>
      <c r="BH2" s="20" t="s">
        <v>90</v>
      </c>
      <c r="BI2" s="20" t="s">
        <v>91</v>
      </c>
      <c r="BJ2" s="20" t="s">
        <v>89</v>
      </c>
      <c r="BK2" s="20" t="s">
        <v>90</v>
      </c>
      <c r="BL2" s="20" t="s">
        <v>91</v>
      </c>
      <c r="BM2" s="32" t="s">
        <v>89</v>
      </c>
      <c r="BN2" s="20" t="s">
        <v>90</v>
      </c>
      <c r="BO2" s="20" t="s">
        <v>91</v>
      </c>
      <c r="BP2" s="32" t="s">
        <v>89</v>
      </c>
      <c r="BQ2" s="20" t="s">
        <v>90</v>
      </c>
      <c r="BR2" s="20" t="s">
        <v>91</v>
      </c>
      <c r="BS2" s="32" t="s">
        <v>89</v>
      </c>
      <c r="BT2" s="20" t="s">
        <v>90</v>
      </c>
      <c r="BU2" s="20" t="s">
        <v>91</v>
      </c>
      <c r="BV2" s="20" t="s">
        <v>89</v>
      </c>
      <c r="BW2" s="20" t="s">
        <v>90</v>
      </c>
      <c r="BX2" s="20" t="s">
        <v>91</v>
      </c>
      <c r="BY2" s="20" t="s">
        <v>89</v>
      </c>
      <c r="BZ2" s="20" t="s">
        <v>90</v>
      </c>
      <c r="CA2" s="20" t="s">
        <v>91</v>
      </c>
      <c r="CB2" s="20" t="s">
        <v>89</v>
      </c>
      <c r="CC2" s="20" t="s">
        <v>90</v>
      </c>
      <c r="CD2" s="20" t="s">
        <v>91</v>
      </c>
    </row>
    <row r="3" spans="1:82" x14ac:dyDescent="0.2">
      <c r="A3" s="20" t="s">
        <v>42</v>
      </c>
      <c r="B3" s="1">
        <v>35.6</v>
      </c>
      <c r="C3" s="1">
        <v>8.1199999999999992</v>
      </c>
      <c r="D3" s="1">
        <v>27</v>
      </c>
      <c r="E3" s="1">
        <v>35.6</v>
      </c>
      <c r="F3" s="1">
        <v>8.1199999999999992</v>
      </c>
      <c r="G3" s="1">
        <v>26.8</v>
      </c>
      <c r="H3" s="1">
        <v>35.5</v>
      </c>
      <c r="I3" s="1">
        <v>8.1199999999999992</v>
      </c>
      <c r="J3" s="1">
        <v>27</v>
      </c>
      <c r="K3" s="4">
        <v>35.6</v>
      </c>
      <c r="L3" s="4">
        <v>8.15</v>
      </c>
      <c r="M3" s="4">
        <v>27</v>
      </c>
      <c r="N3" s="1">
        <v>35.6</v>
      </c>
      <c r="O3" s="1">
        <v>8.19</v>
      </c>
      <c r="P3" s="1">
        <v>27</v>
      </c>
      <c r="Q3" s="1">
        <v>35.6</v>
      </c>
      <c r="R3" s="1">
        <v>8.1300000000000008</v>
      </c>
      <c r="S3" s="1">
        <v>26.6</v>
      </c>
      <c r="T3" s="1">
        <v>35.700000000000003</v>
      </c>
      <c r="U3" s="1">
        <v>8.1199999999999992</v>
      </c>
      <c r="V3" s="1">
        <v>26.7</v>
      </c>
      <c r="W3" s="1">
        <v>35.799999999999997</v>
      </c>
      <c r="X3" s="1">
        <v>8.11</v>
      </c>
      <c r="Y3" s="1">
        <v>26.7</v>
      </c>
      <c r="Z3" s="1">
        <v>35.6</v>
      </c>
      <c r="AA3" s="1">
        <v>8.09</v>
      </c>
      <c r="AB3" s="1">
        <v>27</v>
      </c>
      <c r="AC3" s="1">
        <v>35.6</v>
      </c>
      <c r="AD3" s="1">
        <v>8.14</v>
      </c>
      <c r="AE3" s="1">
        <v>26.7</v>
      </c>
      <c r="AF3" s="1">
        <v>35.6</v>
      </c>
      <c r="AG3" s="1">
        <v>8.1199999999999992</v>
      </c>
      <c r="AH3" s="1">
        <v>26.7</v>
      </c>
      <c r="AI3" s="1">
        <v>35.6</v>
      </c>
      <c r="AJ3" s="1">
        <v>8.1</v>
      </c>
      <c r="AK3" s="1">
        <v>27.2</v>
      </c>
      <c r="AL3" s="1">
        <v>35.6</v>
      </c>
      <c r="AM3" s="1">
        <v>8.14</v>
      </c>
      <c r="AN3" s="1">
        <v>26.9</v>
      </c>
      <c r="AO3" s="1">
        <v>35.6</v>
      </c>
      <c r="AP3" s="1">
        <v>8.11</v>
      </c>
      <c r="AQ3" s="1">
        <v>26.7</v>
      </c>
      <c r="AR3" s="1">
        <v>36.1</v>
      </c>
      <c r="AS3" s="1">
        <v>8.17</v>
      </c>
      <c r="AT3" s="1">
        <v>26.7</v>
      </c>
      <c r="AU3" s="1">
        <v>36.299999999999997</v>
      </c>
      <c r="AV3" s="1">
        <v>8.11</v>
      </c>
      <c r="AW3" s="1">
        <v>26.9</v>
      </c>
      <c r="AX3" s="1">
        <v>36.1</v>
      </c>
      <c r="AY3" s="1">
        <v>8.1</v>
      </c>
      <c r="AZ3" s="1">
        <v>26.8</v>
      </c>
      <c r="BA3" s="1">
        <v>36.1</v>
      </c>
      <c r="BB3" s="1">
        <v>8.1</v>
      </c>
      <c r="BC3" s="1">
        <v>26.8</v>
      </c>
      <c r="BD3" s="1">
        <v>35.799999999999997</v>
      </c>
      <c r="BE3" s="1">
        <v>8.07</v>
      </c>
      <c r="BF3" s="1">
        <v>26.9</v>
      </c>
      <c r="BG3" s="1">
        <v>35.299999999999997</v>
      </c>
      <c r="BH3" s="1">
        <v>8.09</v>
      </c>
      <c r="BI3" s="1">
        <v>26.8</v>
      </c>
      <c r="BJ3" s="1">
        <v>35.200000000000003</v>
      </c>
      <c r="BK3" s="1">
        <v>8.1</v>
      </c>
      <c r="BL3" s="1">
        <v>27</v>
      </c>
      <c r="BM3" s="1">
        <v>35.299999999999997</v>
      </c>
      <c r="BN3" s="1">
        <v>8.1300000000000008</v>
      </c>
      <c r="BO3" s="1">
        <v>26.9</v>
      </c>
      <c r="BP3" s="1">
        <v>35.200000000000003</v>
      </c>
      <c r="BQ3" s="1">
        <v>8.15</v>
      </c>
      <c r="BR3" s="1">
        <v>26.8</v>
      </c>
      <c r="BS3" s="1">
        <v>35.799999999999997</v>
      </c>
      <c r="BT3" s="1">
        <v>8.06</v>
      </c>
      <c r="BU3" s="1">
        <v>26.9</v>
      </c>
      <c r="BV3" s="1">
        <v>35.9</v>
      </c>
      <c r="BW3" s="1">
        <v>8.09</v>
      </c>
      <c r="BX3" s="1">
        <v>27.2</v>
      </c>
      <c r="BY3" s="1">
        <v>36</v>
      </c>
      <c r="BZ3" s="1">
        <v>8.14</v>
      </c>
      <c r="CA3" s="1">
        <v>27</v>
      </c>
      <c r="CB3" s="4"/>
      <c r="CC3" s="4"/>
      <c r="CD3" s="4"/>
    </row>
    <row r="4" spans="1:82" x14ac:dyDescent="0.2">
      <c r="A4" s="20" t="s">
        <v>43</v>
      </c>
      <c r="B4" s="1">
        <v>35.6</v>
      </c>
      <c r="C4" s="1">
        <v>8.11</v>
      </c>
      <c r="D4" s="1">
        <v>27</v>
      </c>
      <c r="E4" s="1">
        <v>35.799999999999997</v>
      </c>
      <c r="F4" s="1">
        <v>8.1199999999999992</v>
      </c>
      <c r="G4" s="1">
        <v>26.8</v>
      </c>
      <c r="H4" s="1">
        <v>35.6</v>
      </c>
      <c r="I4" s="1">
        <v>8.1</v>
      </c>
      <c r="J4" s="1">
        <v>26.8</v>
      </c>
      <c r="K4" s="4">
        <v>35.700000000000003</v>
      </c>
      <c r="L4" s="4">
        <v>8.16</v>
      </c>
      <c r="M4" s="4">
        <v>26.9</v>
      </c>
      <c r="N4" s="1">
        <v>35.6</v>
      </c>
      <c r="O4" s="1">
        <v>8.19</v>
      </c>
      <c r="P4" s="1">
        <v>26.8</v>
      </c>
      <c r="Q4" s="1">
        <v>35.5</v>
      </c>
      <c r="R4" s="1">
        <v>8.14</v>
      </c>
      <c r="S4" s="1">
        <v>26.6</v>
      </c>
      <c r="T4" s="1">
        <v>35.4</v>
      </c>
      <c r="U4" s="1">
        <v>8.15</v>
      </c>
      <c r="V4" s="1">
        <v>26.9</v>
      </c>
      <c r="W4" s="1">
        <v>35.5</v>
      </c>
      <c r="X4" s="1">
        <v>8.1199999999999992</v>
      </c>
      <c r="Y4" s="1">
        <v>26.9</v>
      </c>
      <c r="Z4" s="1">
        <v>35.5</v>
      </c>
      <c r="AA4" s="1">
        <v>8.11</v>
      </c>
      <c r="AB4" s="1">
        <v>27</v>
      </c>
      <c r="AC4" s="1">
        <v>35.6</v>
      </c>
      <c r="AD4" s="1">
        <v>8.14</v>
      </c>
      <c r="AE4" s="1">
        <v>26.8</v>
      </c>
      <c r="AF4" s="1">
        <v>35.6</v>
      </c>
      <c r="AG4" s="1">
        <v>8.1300000000000008</v>
      </c>
      <c r="AH4" s="1">
        <v>26.7</v>
      </c>
      <c r="AI4" s="1">
        <v>35.6</v>
      </c>
      <c r="AJ4" s="1">
        <v>8.1199999999999992</v>
      </c>
      <c r="AK4" s="1">
        <v>27</v>
      </c>
      <c r="AL4" s="1">
        <v>35.5</v>
      </c>
      <c r="AM4" s="1">
        <v>8.16</v>
      </c>
      <c r="AN4" s="1">
        <v>26.8</v>
      </c>
      <c r="AO4" s="1">
        <v>35.6</v>
      </c>
      <c r="AP4" s="1">
        <v>8.15</v>
      </c>
      <c r="AQ4" s="1">
        <v>26.9</v>
      </c>
      <c r="AR4" s="1">
        <v>36.1</v>
      </c>
      <c r="AS4" s="1">
        <v>8.18</v>
      </c>
      <c r="AT4" s="1">
        <v>26.9</v>
      </c>
      <c r="AU4" s="1">
        <v>36.200000000000003</v>
      </c>
      <c r="AV4" s="1">
        <v>8.1300000000000008</v>
      </c>
      <c r="AW4" s="1">
        <v>27</v>
      </c>
      <c r="AX4" s="1">
        <v>36.1</v>
      </c>
      <c r="AY4" s="1">
        <v>8.1199999999999992</v>
      </c>
      <c r="AZ4" s="1">
        <v>26.9</v>
      </c>
      <c r="BA4" s="1">
        <v>36.1</v>
      </c>
      <c r="BB4" s="1">
        <v>8.1</v>
      </c>
      <c r="BC4" s="1">
        <v>26.8</v>
      </c>
      <c r="BD4" s="1">
        <v>35.9</v>
      </c>
      <c r="BE4" s="1">
        <v>8.08</v>
      </c>
      <c r="BF4" s="1">
        <v>26.8</v>
      </c>
      <c r="BG4" s="1">
        <v>35.299999999999997</v>
      </c>
      <c r="BH4" s="1">
        <v>8.09</v>
      </c>
      <c r="BI4" s="1">
        <v>26.9</v>
      </c>
      <c r="BJ4" s="1">
        <v>35.200000000000003</v>
      </c>
      <c r="BK4" s="1">
        <v>8.11</v>
      </c>
      <c r="BL4" s="1">
        <v>26.8</v>
      </c>
      <c r="BM4" s="1">
        <v>35.299999999999997</v>
      </c>
      <c r="BN4" s="1">
        <v>8.1199999999999992</v>
      </c>
      <c r="BO4" s="1">
        <v>26.7</v>
      </c>
      <c r="BP4" s="1">
        <v>35.200000000000003</v>
      </c>
      <c r="BQ4" s="1">
        <v>8.14</v>
      </c>
      <c r="BR4" s="1">
        <v>26.8</v>
      </c>
      <c r="BS4" s="1">
        <v>35.9</v>
      </c>
      <c r="BT4" s="1">
        <v>8.08</v>
      </c>
      <c r="BU4" s="1">
        <v>27</v>
      </c>
      <c r="BV4" s="1">
        <v>35.9</v>
      </c>
      <c r="BW4" s="1">
        <v>8.1</v>
      </c>
      <c r="BX4" s="1">
        <v>27.1</v>
      </c>
      <c r="BY4" s="1">
        <v>36</v>
      </c>
      <c r="BZ4" s="1">
        <v>8.15</v>
      </c>
      <c r="CA4" s="1">
        <v>26.8</v>
      </c>
      <c r="CB4" s="4"/>
      <c r="CC4" s="4"/>
      <c r="CD4" s="4"/>
    </row>
    <row r="5" spans="1:82" x14ac:dyDescent="0.2">
      <c r="A5" s="20" t="s">
        <v>44</v>
      </c>
      <c r="B5" s="1">
        <v>35.5</v>
      </c>
      <c r="C5" s="1">
        <v>8.1300000000000008</v>
      </c>
      <c r="D5" s="1">
        <v>26.7</v>
      </c>
      <c r="E5" s="1">
        <v>35.5</v>
      </c>
      <c r="F5" s="1">
        <v>8.1300000000000008</v>
      </c>
      <c r="G5" s="1">
        <v>26.5</v>
      </c>
      <c r="H5" s="1">
        <v>35.6</v>
      </c>
      <c r="I5" s="1">
        <v>8.16</v>
      </c>
      <c r="J5" s="1">
        <v>26.6</v>
      </c>
      <c r="K5" s="1">
        <v>25.7</v>
      </c>
      <c r="L5" s="1">
        <v>8.18</v>
      </c>
      <c r="M5" s="1">
        <v>26.7</v>
      </c>
      <c r="N5" s="1">
        <v>35.6</v>
      </c>
      <c r="O5" s="1">
        <v>8.1999999999999993</v>
      </c>
      <c r="P5" s="1">
        <v>26.7</v>
      </c>
      <c r="Q5" s="1">
        <v>35.6</v>
      </c>
      <c r="R5" s="1">
        <v>8.14</v>
      </c>
      <c r="S5" s="1">
        <v>26.8</v>
      </c>
      <c r="T5" s="1">
        <v>35.4</v>
      </c>
      <c r="U5" s="1">
        <v>8.1300000000000008</v>
      </c>
      <c r="V5" s="1">
        <v>26.6</v>
      </c>
      <c r="W5" s="1">
        <v>35.5</v>
      </c>
      <c r="X5" s="1">
        <v>8.1199999999999992</v>
      </c>
      <c r="Y5" s="1">
        <v>26.6</v>
      </c>
      <c r="Z5" s="1">
        <v>35.5</v>
      </c>
      <c r="AA5" s="1">
        <v>8.1</v>
      </c>
      <c r="AB5" s="1">
        <v>27.2</v>
      </c>
      <c r="AC5" s="1">
        <v>35.6</v>
      </c>
      <c r="AD5" s="1">
        <v>8.14</v>
      </c>
      <c r="AE5" s="1">
        <v>27.6</v>
      </c>
      <c r="AF5" s="1">
        <v>35.6</v>
      </c>
      <c r="AG5" s="1">
        <v>8.1300000000000008</v>
      </c>
      <c r="AH5" s="1">
        <v>28.1</v>
      </c>
      <c r="AI5" s="1">
        <v>35.700000000000003</v>
      </c>
      <c r="AJ5" s="1">
        <v>8.11</v>
      </c>
      <c r="AK5" s="1">
        <v>28.8</v>
      </c>
      <c r="AL5" s="1">
        <v>35.700000000000003</v>
      </c>
      <c r="AM5" s="1">
        <v>8.1300000000000008</v>
      </c>
      <c r="AN5" s="1">
        <v>29.2</v>
      </c>
      <c r="AO5" s="1">
        <v>35.799999999999997</v>
      </c>
      <c r="AP5" s="1">
        <v>8.11</v>
      </c>
      <c r="AQ5" s="1">
        <v>29.7</v>
      </c>
      <c r="AR5" s="1">
        <v>36.299999999999997</v>
      </c>
      <c r="AS5" s="1">
        <v>8.15</v>
      </c>
      <c r="AT5" s="1">
        <v>30.2</v>
      </c>
      <c r="AU5" s="1">
        <v>36.4</v>
      </c>
      <c r="AV5" s="1">
        <v>8.11</v>
      </c>
      <c r="AW5" s="1">
        <v>30.7</v>
      </c>
      <c r="AX5" s="1">
        <v>36.299999999999997</v>
      </c>
      <c r="AY5" s="1">
        <v>8.1300000000000008</v>
      </c>
      <c r="AZ5" s="1">
        <v>31.3</v>
      </c>
      <c r="BA5" s="1">
        <v>36.4</v>
      </c>
      <c r="BB5" s="1">
        <v>8.11</v>
      </c>
      <c r="BC5" s="1">
        <v>31.7</v>
      </c>
      <c r="BD5" s="1">
        <v>36.200000000000003</v>
      </c>
      <c r="BE5" s="1">
        <v>8.09</v>
      </c>
      <c r="BF5" s="1">
        <v>31.7</v>
      </c>
      <c r="BG5" s="1">
        <v>35.799999999999997</v>
      </c>
      <c r="BH5" s="1">
        <v>8.11</v>
      </c>
      <c r="BI5" s="1">
        <v>31.8</v>
      </c>
      <c r="BJ5" s="1">
        <v>35.700000000000003</v>
      </c>
      <c r="BK5" s="1">
        <v>8.1199999999999992</v>
      </c>
      <c r="BL5" s="1">
        <v>31.9</v>
      </c>
      <c r="BM5" s="1">
        <v>35.9</v>
      </c>
      <c r="BN5" s="1">
        <v>8.11</v>
      </c>
      <c r="BO5" s="1">
        <v>31.8</v>
      </c>
      <c r="BP5" s="1">
        <v>35.299999999999997</v>
      </c>
      <c r="BQ5" s="1">
        <v>8.16</v>
      </c>
      <c r="BR5" s="1">
        <v>31.9</v>
      </c>
      <c r="BS5" s="1">
        <v>36.4</v>
      </c>
      <c r="BT5" s="1">
        <v>8.11</v>
      </c>
      <c r="BU5" s="1">
        <v>31.9</v>
      </c>
      <c r="BV5" s="1">
        <v>36.5</v>
      </c>
      <c r="BW5" s="1">
        <v>8.1300000000000008</v>
      </c>
      <c r="BX5" s="1">
        <v>31.9</v>
      </c>
      <c r="BY5" s="1">
        <v>36.6</v>
      </c>
      <c r="BZ5" s="1">
        <v>8.18</v>
      </c>
      <c r="CA5" s="1">
        <v>31.9</v>
      </c>
      <c r="CB5" s="4"/>
      <c r="CC5" s="4"/>
      <c r="CD5" s="4"/>
    </row>
    <row r="6" spans="1:82" x14ac:dyDescent="0.2">
      <c r="A6" s="20" t="s">
        <v>45</v>
      </c>
      <c r="B6" s="4"/>
      <c r="C6" s="4"/>
      <c r="D6" s="4"/>
      <c r="E6" s="1">
        <v>35.6</v>
      </c>
      <c r="F6" s="1">
        <v>8.1300000000000008</v>
      </c>
      <c r="G6" s="1">
        <v>26.6</v>
      </c>
      <c r="H6" s="1">
        <v>35.799999999999997</v>
      </c>
      <c r="I6" s="1">
        <v>8.16</v>
      </c>
      <c r="J6" s="1">
        <v>26.9</v>
      </c>
      <c r="K6" s="1">
        <v>35.799999999999997</v>
      </c>
      <c r="L6" s="1">
        <v>8.18</v>
      </c>
      <c r="M6" s="1">
        <v>26.8</v>
      </c>
      <c r="N6" s="1">
        <v>35.700000000000003</v>
      </c>
      <c r="O6" s="1">
        <v>8.1999999999999993</v>
      </c>
      <c r="P6" s="1">
        <v>26.5</v>
      </c>
      <c r="Q6" s="1">
        <v>35.6</v>
      </c>
      <c r="R6" s="1">
        <v>8.1300000000000008</v>
      </c>
      <c r="S6" s="1">
        <v>26.7</v>
      </c>
      <c r="T6" s="1">
        <v>35.5</v>
      </c>
      <c r="U6" s="1">
        <v>8.14</v>
      </c>
      <c r="V6" s="1">
        <v>26.7</v>
      </c>
      <c r="W6" s="1">
        <v>35.5</v>
      </c>
      <c r="X6" s="1">
        <v>8.14</v>
      </c>
      <c r="Y6" s="1">
        <v>26.7</v>
      </c>
      <c r="Z6" s="1">
        <v>35.6</v>
      </c>
      <c r="AA6" s="1">
        <v>8.1</v>
      </c>
      <c r="AB6" s="1">
        <v>27.4</v>
      </c>
      <c r="AC6" s="1">
        <v>35.6</v>
      </c>
      <c r="AD6" s="1">
        <v>8.14</v>
      </c>
      <c r="AE6" s="1">
        <v>28</v>
      </c>
      <c r="AF6" s="1">
        <v>35.6</v>
      </c>
      <c r="AG6" s="1">
        <v>8.1199999999999992</v>
      </c>
      <c r="AH6" s="1">
        <v>28.4</v>
      </c>
      <c r="AI6" s="1">
        <v>35.700000000000003</v>
      </c>
      <c r="AJ6" s="1">
        <v>8.11</v>
      </c>
      <c r="AK6" s="1">
        <v>28.8</v>
      </c>
      <c r="AL6" s="1">
        <v>35.6</v>
      </c>
      <c r="AM6" s="1">
        <v>8.1300000000000008</v>
      </c>
      <c r="AN6" s="1">
        <v>29.3</v>
      </c>
      <c r="AO6" s="1">
        <v>35.700000000000003</v>
      </c>
      <c r="AP6" s="1">
        <v>8.1199999999999992</v>
      </c>
      <c r="AQ6" s="1">
        <v>30</v>
      </c>
      <c r="AR6" s="1">
        <v>36.299999999999997</v>
      </c>
      <c r="AS6" s="1">
        <v>8.15</v>
      </c>
      <c r="AT6" s="1">
        <v>30.5</v>
      </c>
      <c r="AU6" s="1">
        <v>36.299999999999997</v>
      </c>
      <c r="AV6" s="1">
        <v>8.11</v>
      </c>
      <c r="AW6" s="1">
        <v>31</v>
      </c>
      <c r="AX6" s="1">
        <v>36.299999999999997</v>
      </c>
      <c r="AY6" s="1">
        <v>8.1300000000000008</v>
      </c>
      <c r="AZ6" s="1">
        <v>31.3</v>
      </c>
      <c r="BA6" s="1">
        <v>36.299999999999997</v>
      </c>
      <c r="BB6" s="1">
        <v>8.11</v>
      </c>
      <c r="BC6" s="1">
        <v>31.7</v>
      </c>
      <c r="BD6" s="1">
        <v>36</v>
      </c>
      <c r="BE6" s="1">
        <v>8.11</v>
      </c>
      <c r="BF6" s="1">
        <v>31.7</v>
      </c>
      <c r="BG6" s="1">
        <v>35.5</v>
      </c>
      <c r="BH6" s="1">
        <v>8.1300000000000008</v>
      </c>
      <c r="BI6" s="1">
        <v>31.7</v>
      </c>
      <c r="BJ6" s="1">
        <v>35.5</v>
      </c>
      <c r="BK6" s="1">
        <v>8.1199999999999992</v>
      </c>
      <c r="BL6" s="1">
        <v>31.7</v>
      </c>
      <c r="BM6" s="1">
        <v>35.6</v>
      </c>
      <c r="BN6" s="1">
        <v>8.14</v>
      </c>
      <c r="BO6" s="1">
        <v>31.8</v>
      </c>
      <c r="BP6" s="1">
        <v>35.6</v>
      </c>
      <c r="BQ6" s="1">
        <v>8.19</v>
      </c>
      <c r="BR6" s="1">
        <v>31.7</v>
      </c>
      <c r="BS6" s="1">
        <v>36.200000000000003</v>
      </c>
      <c r="BT6" s="1">
        <v>8.11</v>
      </c>
      <c r="BU6" s="1">
        <v>31.9</v>
      </c>
      <c r="BV6" s="1">
        <v>36.299999999999997</v>
      </c>
      <c r="BW6" s="1">
        <v>8.18</v>
      </c>
      <c r="BX6" s="1">
        <v>31.7</v>
      </c>
      <c r="BY6" s="1">
        <v>36.299999999999997</v>
      </c>
      <c r="BZ6" s="1">
        <v>8.19</v>
      </c>
      <c r="CA6" s="1">
        <v>31.7</v>
      </c>
      <c r="CB6" s="4"/>
      <c r="CC6" s="4"/>
      <c r="CD6" s="4"/>
    </row>
    <row r="7" spans="1:82" x14ac:dyDescent="0.2">
      <c r="A7" s="20" t="s">
        <v>46</v>
      </c>
      <c r="B7" s="1">
        <v>35.6</v>
      </c>
      <c r="C7" s="1">
        <v>8.1300000000000008</v>
      </c>
      <c r="D7" s="1">
        <v>26.9</v>
      </c>
      <c r="E7" s="1">
        <v>35.6</v>
      </c>
      <c r="F7" s="1">
        <v>8.1199999999999992</v>
      </c>
      <c r="G7" s="1">
        <v>26.8</v>
      </c>
      <c r="H7" s="1">
        <v>35.6</v>
      </c>
      <c r="I7" s="1">
        <v>8.16</v>
      </c>
      <c r="J7" s="1">
        <v>26.8</v>
      </c>
      <c r="K7" s="1">
        <v>35.700000000000003</v>
      </c>
      <c r="L7" s="1">
        <v>8.16</v>
      </c>
      <c r="M7" s="1">
        <v>26.8</v>
      </c>
      <c r="N7" s="1">
        <v>35.700000000000003</v>
      </c>
      <c r="O7" s="1">
        <v>8.19</v>
      </c>
      <c r="P7" s="1">
        <v>26.9</v>
      </c>
      <c r="Q7" s="1">
        <v>35.6</v>
      </c>
      <c r="R7" s="1">
        <v>8.14</v>
      </c>
      <c r="S7" s="1">
        <v>26.7</v>
      </c>
      <c r="T7" s="1">
        <v>35.5</v>
      </c>
      <c r="U7" s="1">
        <v>8.1199999999999992</v>
      </c>
      <c r="V7" s="1">
        <v>26.7</v>
      </c>
      <c r="W7" s="1">
        <v>35.5</v>
      </c>
      <c r="X7" s="1">
        <v>8.1199999999999992</v>
      </c>
      <c r="Y7" s="1">
        <v>26.8</v>
      </c>
      <c r="Z7" s="1">
        <v>35.4</v>
      </c>
      <c r="AA7" s="1">
        <v>8.11</v>
      </c>
      <c r="AB7" s="1">
        <v>26.8</v>
      </c>
      <c r="AC7" s="1">
        <v>35.5</v>
      </c>
      <c r="AD7" s="1">
        <v>8.14</v>
      </c>
      <c r="AE7" s="1">
        <v>26.8</v>
      </c>
      <c r="AF7" s="1">
        <v>35.4</v>
      </c>
      <c r="AG7" s="1">
        <v>8.1199999999999992</v>
      </c>
      <c r="AH7" s="1">
        <v>26.8</v>
      </c>
      <c r="AI7" s="1">
        <v>35.5</v>
      </c>
      <c r="AJ7" s="1">
        <v>8.11</v>
      </c>
      <c r="AK7" s="1">
        <v>27</v>
      </c>
      <c r="AL7" s="1">
        <v>35.5</v>
      </c>
      <c r="AM7" s="1">
        <v>8.1199999999999992</v>
      </c>
      <c r="AN7" s="1">
        <v>26.8</v>
      </c>
      <c r="AO7" s="1">
        <v>35.6</v>
      </c>
      <c r="AP7" s="1">
        <v>8.1</v>
      </c>
      <c r="AQ7" s="1">
        <v>26.8</v>
      </c>
      <c r="AR7" s="1">
        <v>35.9</v>
      </c>
      <c r="AS7" s="1">
        <v>8.1300000000000008</v>
      </c>
      <c r="AT7" s="1">
        <v>27</v>
      </c>
      <c r="AU7" s="1">
        <v>36</v>
      </c>
      <c r="AV7" s="1">
        <v>8.09</v>
      </c>
      <c r="AW7" s="1">
        <v>27</v>
      </c>
      <c r="AX7" s="1">
        <v>36</v>
      </c>
      <c r="AY7" s="1">
        <v>8.1</v>
      </c>
      <c r="AZ7" s="1">
        <v>26.9</v>
      </c>
      <c r="BA7" s="1">
        <v>36</v>
      </c>
      <c r="BB7" s="1">
        <v>8.08</v>
      </c>
      <c r="BC7" s="1">
        <v>26.9</v>
      </c>
      <c r="BD7" s="1">
        <v>35.6</v>
      </c>
      <c r="BE7" s="1">
        <v>8.07</v>
      </c>
      <c r="BF7" s="1">
        <v>27.1</v>
      </c>
      <c r="BG7" s="1">
        <v>35.1</v>
      </c>
      <c r="BH7" s="1">
        <v>8.08</v>
      </c>
      <c r="BI7" s="1">
        <v>27</v>
      </c>
      <c r="BJ7" s="1">
        <v>35.1</v>
      </c>
      <c r="BK7" s="1">
        <v>8.08</v>
      </c>
      <c r="BL7" s="1">
        <v>26.8</v>
      </c>
      <c r="BM7" s="1">
        <v>35.200000000000003</v>
      </c>
      <c r="BN7" s="1">
        <v>8.1199999999999992</v>
      </c>
      <c r="BO7" s="1">
        <v>27</v>
      </c>
      <c r="BP7" s="1">
        <v>35.299999999999997</v>
      </c>
      <c r="BQ7" s="1">
        <v>8.1300000000000008</v>
      </c>
      <c r="BR7" s="1">
        <v>26.9</v>
      </c>
      <c r="BS7" s="1">
        <v>35.6</v>
      </c>
      <c r="BT7" s="1">
        <v>8.06</v>
      </c>
      <c r="BU7" s="1">
        <v>27</v>
      </c>
      <c r="BV7" s="1">
        <v>35.799999999999997</v>
      </c>
      <c r="BW7" s="1">
        <v>8.1</v>
      </c>
      <c r="BX7" s="1">
        <v>27.1</v>
      </c>
      <c r="BY7" s="1">
        <v>35.799999999999997</v>
      </c>
      <c r="BZ7" s="1">
        <v>8.1300000000000008</v>
      </c>
      <c r="CA7" s="1">
        <v>27.2</v>
      </c>
      <c r="CB7" s="4"/>
      <c r="CC7" s="4"/>
      <c r="CD7" s="4"/>
    </row>
    <row r="8" spans="1:82" x14ac:dyDescent="0.2">
      <c r="A8" s="20" t="s">
        <v>47</v>
      </c>
      <c r="B8" s="4"/>
      <c r="C8" s="4"/>
      <c r="D8" s="4"/>
      <c r="E8" s="1">
        <v>35.700000000000003</v>
      </c>
      <c r="F8" s="1">
        <v>8.1300000000000008</v>
      </c>
      <c r="G8" s="1">
        <v>26.8</v>
      </c>
      <c r="H8" s="1">
        <v>35.700000000000003</v>
      </c>
      <c r="I8" s="1">
        <v>8.16</v>
      </c>
      <c r="J8" s="1">
        <v>26.7</v>
      </c>
      <c r="K8" s="1">
        <v>35.799999999999997</v>
      </c>
      <c r="L8" s="1">
        <v>8.18</v>
      </c>
      <c r="M8" s="1">
        <v>26.8</v>
      </c>
      <c r="N8" s="1">
        <v>35.799999999999997</v>
      </c>
      <c r="O8" s="1">
        <v>8.19</v>
      </c>
      <c r="P8" s="1">
        <v>26.8</v>
      </c>
      <c r="Q8" s="1">
        <v>35.6</v>
      </c>
      <c r="R8" s="1">
        <v>8.15</v>
      </c>
      <c r="S8" s="1">
        <v>26.7</v>
      </c>
      <c r="T8" s="1">
        <v>35.6</v>
      </c>
      <c r="U8" s="1">
        <v>8.14</v>
      </c>
      <c r="V8" s="1">
        <v>26.7</v>
      </c>
      <c r="W8" s="1">
        <v>35.5</v>
      </c>
      <c r="X8" s="1">
        <v>8.1300000000000008</v>
      </c>
      <c r="Y8" s="1">
        <v>26.6</v>
      </c>
      <c r="Z8" s="1">
        <v>35.5</v>
      </c>
      <c r="AA8" s="1">
        <v>8.11</v>
      </c>
      <c r="AB8" s="1">
        <v>26.7</v>
      </c>
      <c r="AC8" s="1">
        <v>35.5</v>
      </c>
      <c r="AD8" s="1">
        <v>8.14</v>
      </c>
      <c r="AE8" s="1">
        <v>26.7</v>
      </c>
      <c r="AF8" s="1">
        <v>35.5</v>
      </c>
      <c r="AG8" s="1">
        <v>8.1300000000000008</v>
      </c>
      <c r="AH8" s="1">
        <v>26.7</v>
      </c>
      <c r="AI8" s="1">
        <v>35.5</v>
      </c>
      <c r="AJ8" s="1">
        <v>8.1199999999999992</v>
      </c>
      <c r="AK8" s="1">
        <v>26.8</v>
      </c>
      <c r="AL8" s="1">
        <v>35.5</v>
      </c>
      <c r="AM8" s="1">
        <v>8.14</v>
      </c>
      <c r="AN8" s="1">
        <v>26.7</v>
      </c>
      <c r="AO8" s="1">
        <v>35.6</v>
      </c>
      <c r="AP8" s="1">
        <v>8.1300000000000008</v>
      </c>
      <c r="AQ8" s="1">
        <v>26.8</v>
      </c>
      <c r="AR8" s="1">
        <v>36</v>
      </c>
      <c r="AS8" s="1">
        <v>8.15</v>
      </c>
      <c r="AT8" s="1">
        <v>26.8</v>
      </c>
      <c r="AU8" s="1">
        <v>36</v>
      </c>
      <c r="AV8" s="1">
        <v>8.11</v>
      </c>
      <c r="AW8" s="1">
        <v>26.9</v>
      </c>
      <c r="AX8" s="1">
        <v>36</v>
      </c>
      <c r="AY8" s="1">
        <v>8.1199999999999992</v>
      </c>
      <c r="AZ8" s="1">
        <v>26.9</v>
      </c>
      <c r="BA8" s="1">
        <v>36</v>
      </c>
      <c r="BB8" s="1">
        <v>8.11</v>
      </c>
      <c r="BC8" s="1">
        <v>27</v>
      </c>
      <c r="BD8" s="1">
        <v>35.700000000000003</v>
      </c>
      <c r="BE8" s="1">
        <v>8.1</v>
      </c>
      <c r="BF8" s="1">
        <v>26.8</v>
      </c>
      <c r="BG8" s="1">
        <v>35.1</v>
      </c>
      <c r="BH8" s="1">
        <v>8.1199999999999992</v>
      </c>
      <c r="BI8" s="1">
        <v>26.9</v>
      </c>
      <c r="BJ8" s="1">
        <v>35.1</v>
      </c>
      <c r="BK8" s="1">
        <v>8.11</v>
      </c>
      <c r="BL8" s="1">
        <v>26.8</v>
      </c>
      <c r="BM8" s="1">
        <v>35.200000000000003</v>
      </c>
      <c r="BN8" s="1">
        <v>8.1199999999999992</v>
      </c>
      <c r="BO8" s="1">
        <v>26.8</v>
      </c>
      <c r="BP8" s="1">
        <v>35.200000000000003</v>
      </c>
      <c r="BQ8" s="1">
        <v>8.14</v>
      </c>
      <c r="BR8" s="1">
        <v>26.7</v>
      </c>
      <c r="BS8" s="1">
        <v>35.799999999999997</v>
      </c>
      <c r="BT8" s="1">
        <v>8.09</v>
      </c>
      <c r="BU8" s="1">
        <v>26.9</v>
      </c>
      <c r="BV8" s="1">
        <v>35.799999999999997</v>
      </c>
      <c r="BW8" s="1">
        <v>8.11</v>
      </c>
      <c r="BX8" s="1">
        <v>26.9</v>
      </c>
      <c r="BY8" s="1">
        <v>35.9</v>
      </c>
      <c r="BZ8" s="1">
        <v>8.14</v>
      </c>
      <c r="CA8" s="1">
        <v>27.1</v>
      </c>
      <c r="CB8" s="4"/>
      <c r="CC8" s="4"/>
      <c r="CD8" s="4"/>
    </row>
    <row r="9" spans="1:82" x14ac:dyDescent="0.2">
      <c r="A9" s="20" t="s">
        <v>48</v>
      </c>
      <c r="B9" s="1">
        <v>35.6</v>
      </c>
      <c r="C9" s="1">
        <v>8.11</v>
      </c>
      <c r="D9" s="1">
        <v>28.1</v>
      </c>
      <c r="E9" s="1">
        <v>35.6</v>
      </c>
      <c r="F9" s="1">
        <v>8.1199999999999992</v>
      </c>
      <c r="G9" s="1">
        <v>27</v>
      </c>
      <c r="H9" s="1">
        <v>35.4</v>
      </c>
      <c r="I9" s="1">
        <v>8.17</v>
      </c>
      <c r="J9" s="1">
        <v>26.9</v>
      </c>
      <c r="K9" s="1">
        <v>35.6</v>
      </c>
      <c r="L9" s="1">
        <v>8.17</v>
      </c>
      <c r="M9" s="1">
        <v>27</v>
      </c>
      <c r="N9" s="1">
        <v>35.700000000000003</v>
      </c>
      <c r="O9" s="1">
        <v>8.2100000000000009</v>
      </c>
      <c r="P9" s="1">
        <v>26.9</v>
      </c>
      <c r="Q9" s="1">
        <v>35.5</v>
      </c>
      <c r="R9" s="1">
        <v>8.14</v>
      </c>
      <c r="S9" s="1">
        <v>26.7</v>
      </c>
      <c r="T9" s="1">
        <v>35.5</v>
      </c>
      <c r="U9" s="1">
        <v>8.14</v>
      </c>
      <c r="V9" s="1">
        <v>26.8</v>
      </c>
      <c r="W9" s="1">
        <v>35.5</v>
      </c>
      <c r="X9" s="1">
        <v>8.14</v>
      </c>
      <c r="Y9" s="1">
        <v>26.7</v>
      </c>
      <c r="Z9" s="1">
        <v>35.5</v>
      </c>
      <c r="AA9" s="1">
        <v>8.1199999999999992</v>
      </c>
      <c r="AB9" s="1">
        <v>27.2</v>
      </c>
      <c r="AC9" s="1">
        <v>35.6</v>
      </c>
      <c r="AD9" s="1">
        <v>8.15</v>
      </c>
      <c r="AE9" s="1">
        <v>27.7</v>
      </c>
      <c r="AF9" s="1">
        <v>35.6</v>
      </c>
      <c r="AG9" s="1">
        <v>8.1199999999999992</v>
      </c>
      <c r="AH9" s="1">
        <v>28.2</v>
      </c>
      <c r="AI9" s="1">
        <v>35.6</v>
      </c>
      <c r="AJ9" s="1">
        <v>8.11</v>
      </c>
      <c r="AK9" s="1">
        <v>28.9</v>
      </c>
      <c r="AL9" s="1">
        <v>35.700000000000003</v>
      </c>
      <c r="AM9" s="1">
        <v>8.11</v>
      </c>
      <c r="AN9" s="1">
        <v>29.3</v>
      </c>
      <c r="AO9" s="1">
        <v>35.799999999999997</v>
      </c>
      <c r="AP9" s="1">
        <v>8.11</v>
      </c>
      <c r="AQ9" s="1">
        <v>29.9</v>
      </c>
      <c r="AR9" s="1">
        <v>36.299999999999997</v>
      </c>
      <c r="AS9" s="1">
        <v>8.1300000000000008</v>
      </c>
      <c r="AT9" s="1">
        <v>30.3</v>
      </c>
      <c r="AU9" s="1">
        <v>36.299999999999997</v>
      </c>
      <c r="AV9" s="1">
        <v>8.1</v>
      </c>
      <c r="AW9" s="1">
        <v>30.8</v>
      </c>
      <c r="AX9" s="1">
        <v>36.299999999999997</v>
      </c>
      <c r="AY9" s="1">
        <v>8.1</v>
      </c>
      <c r="AZ9" s="1">
        <v>31.4</v>
      </c>
      <c r="BA9" s="1">
        <v>36.4</v>
      </c>
      <c r="BB9" s="1">
        <v>8.09</v>
      </c>
      <c r="BC9" s="1">
        <v>31.8</v>
      </c>
      <c r="BD9" s="1">
        <v>36.1</v>
      </c>
      <c r="BE9" s="1">
        <v>8.1</v>
      </c>
      <c r="BF9" s="1">
        <v>31.8</v>
      </c>
      <c r="BG9" s="1">
        <v>35.6</v>
      </c>
      <c r="BH9" s="1">
        <v>8.09</v>
      </c>
      <c r="BI9" s="1">
        <v>31.8</v>
      </c>
      <c r="BJ9" s="1">
        <v>35.6</v>
      </c>
      <c r="BK9" s="1">
        <v>8.11</v>
      </c>
      <c r="BL9" s="1">
        <v>31.8</v>
      </c>
      <c r="BM9" s="1">
        <v>35.700000000000003</v>
      </c>
      <c r="BN9" s="1">
        <v>8.1300000000000008</v>
      </c>
      <c r="BO9" s="1">
        <v>31.8</v>
      </c>
      <c r="BP9" s="1">
        <v>35.700000000000003</v>
      </c>
      <c r="BQ9" s="1">
        <v>8.15</v>
      </c>
      <c r="BR9" s="1">
        <v>31.9</v>
      </c>
      <c r="BS9" s="1">
        <v>36.200000000000003</v>
      </c>
      <c r="BT9" s="1">
        <v>8.09</v>
      </c>
      <c r="BU9" s="1">
        <v>32</v>
      </c>
      <c r="BV9" s="1">
        <v>36.299999999999997</v>
      </c>
      <c r="BW9" s="1">
        <v>8.1300000000000008</v>
      </c>
      <c r="BX9" s="1">
        <v>32</v>
      </c>
      <c r="BY9" s="1">
        <v>36.299999999999997</v>
      </c>
      <c r="BZ9" s="1">
        <v>8.16</v>
      </c>
      <c r="CA9" s="1">
        <v>32</v>
      </c>
      <c r="CB9" s="4"/>
      <c r="CC9" s="4"/>
      <c r="CD9" s="4"/>
    </row>
    <row r="10" spans="1:82" x14ac:dyDescent="0.2">
      <c r="A10" s="20" t="s">
        <v>49</v>
      </c>
      <c r="B10" s="4"/>
      <c r="C10" s="4"/>
      <c r="D10" s="4"/>
      <c r="E10" s="1">
        <v>35.6</v>
      </c>
      <c r="F10" s="1">
        <v>8.1300000000000008</v>
      </c>
      <c r="G10" s="1">
        <v>26.8</v>
      </c>
      <c r="H10" s="1">
        <v>35.5</v>
      </c>
      <c r="I10" s="1">
        <v>8.1300000000000008</v>
      </c>
      <c r="J10" s="1">
        <v>26.8</v>
      </c>
      <c r="K10" s="1">
        <v>35.5</v>
      </c>
      <c r="L10" s="1">
        <v>8.16</v>
      </c>
      <c r="M10" s="1">
        <v>26.8</v>
      </c>
      <c r="N10" s="1">
        <v>35.700000000000003</v>
      </c>
      <c r="O10" s="1">
        <v>8.2200000000000006</v>
      </c>
      <c r="P10" s="1">
        <v>26.8</v>
      </c>
      <c r="Q10" s="1">
        <v>35.6</v>
      </c>
      <c r="R10" s="1">
        <v>8.14</v>
      </c>
      <c r="S10" s="1">
        <v>26.6</v>
      </c>
      <c r="T10" s="1">
        <v>35.6</v>
      </c>
      <c r="U10" s="1">
        <v>8.15</v>
      </c>
      <c r="V10" s="1">
        <v>26.9</v>
      </c>
      <c r="W10" s="1">
        <v>35.6</v>
      </c>
      <c r="X10" s="1">
        <v>8.1300000000000008</v>
      </c>
      <c r="Y10" s="1">
        <v>27</v>
      </c>
      <c r="Z10" s="1">
        <v>35.5</v>
      </c>
      <c r="AA10" s="1">
        <v>8.1199999999999992</v>
      </c>
      <c r="AB10" s="1">
        <v>27.2</v>
      </c>
      <c r="AC10" s="1">
        <v>35.6</v>
      </c>
      <c r="AD10" s="1">
        <v>8.15</v>
      </c>
      <c r="AE10" s="1">
        <v>27.8</v>
      </c>
      <c r="AF10" s="1">
        <v>35.6</v>
      </c>
      <c r="AG10" s="1">
        <v>8.1300000000000008</v>
      </c>
      <c r="AH10" s="1">
        <v>28.5</v>
      </c>
      <c r="AI10" s="1">
        <v>35.6</v>
      </c>
      <c r="AJ10" s="1">
        <v>8.1199999999999992</v>
      </c>
      <c r="AK10" s="1">
        <v>28.9</v>
      </c>
      <c r="AL10" s="1">
        <v>35.700000000000003</v>
      </c>
      <c r="AM10" s="1">
        <v>8.1300000000000008</v>
      </c>
      <c r="AN10" s="1">
        <v>29.4</v>
      </c>
      <c r="AO10" s="1">
        <v>35.799999999999997</v>
      </c>
      <c r="AP10" s="1">
        <v>8.1199999999999992</v>
      </c>
      <c r="AQ10" s="1">
        <v>29.7</v>
      </c>
      <c r="AR10" s="1">
        <v>36.200000000000003</v>
      </c>
      <c r="AS10" s="1">
        <v>8.14</v>
      </c>
      <c r="AT10" s="1">
        <v>30.1</v>
      </c>
      <c r="AU10" s="1">
        <v>36.299999999999997</v>
      </c>
      <c r="AV10" s="1">
        <v>8.11</v>
      </c>
      <c r="AW10" s="1">
        <v>31</v>
      </c>
      <c r="AX10" s="1">
        <v>36.4</v>
      </c>
      <c r="AY10" s="1">
        <v>8.1199999999999992</v>
      </c>
      <c r="AZ10" s="1">
        <v>31.5</v>
      </c>
      <c r="BA10" s="1">
        <v>36.4</v>
      </c>
      <c r="BB10" s="1">
        <v>8.11</v>
      </c>
      <c r="BC10" s="1">
        <v>31.8</v>
      </c>
      <c r="BD10" s="1">
        <v>36.1</v>
      </c>
      <c r="BE10" s="1">
        <v>8.1</v>
      </c>
      <c r="BF10" s="1">
        <v>31.8</v>
      </c>
      <c r="BG10" s="1">
        <v>35.6</v>
      </c>
      <c r="BH10" s="1">
        <v>8.1199999999999992</v>
      </c>
      <c r="BI10" s="1">
        <v>31.9</v>
      </c>
      <c r="BJ10" s="1">
        <v>35.5</v>
      </c>
      <c r="BK10" s="1">
        <v>8.11</v>
      </c>
      <c r="BL10" s="1">
        <v>31.9</v>
      </c>
      <c r="BM10" s="1">
        <v>35.700000000000003</v>
      </c>
      <c r="BN10" s="1">
        <v>8.1199999999999992</v>
      </c>
      <c r="BO10" s="1">
        <v>31.9</v>
      </c>
      <c r="BP10" s="1">
        <v>35.700000000000003</v>
      </c>
      <c r="BQ10" s="1">
        <v>8.17</v>
      </c>
      <c r="BR10" s="1">
        <v>31.9</v>
      </c>
      <c r="BS10" s="1">
        <v>36.200000000000003</v>
      </c>
      <c r="BT10" s="1">
        <v>8.1</v>
      </c>
      <c r="BU10" s="1">
        <v>31.8</v>
      </c>
      <c r="BV10" s="1">
        <v>36.200000000000003</v>
      </c>
      <c r="BW10" s="1">
        <v>8.15</v>
      </c>
      <c r="BX10" s="1">
        <v>32</v>
      </c>
      <c r="BY10" s="1">
        <v>36.299999999999997</v>
      </c>
      <c r="BZ10" s="1">
        <v>8.17</v>
      </c>
      <c r="CA10" s="1">
        <v>31.8</v>
      </c>
      <c r="CB10" s="4"/>
      <c r="CC10" s="4"/>
      <c r="CD10" s="4"/>
    </row>
    <row r="11" spans="1:82" x14ac:dyDescent="0.2">
      <c r="A11" s="20" t="s">
        <v>50</v>
      </c>
      <c r="B11" s="1">
        <v>35.6</v>
      </c>
      <c r="C11" s="1">
        <v>8.1199999999999992</v>
      </c>
      <c r="D11" s="1">
        <v>26.8</v>
      </c>
      <c r="E11" s="1">
        <v>35.6</v>
      </c>
      <c r="F11" s="1">
        <v>8.1199999999999992</v>
      </c>
      <c r="G11" s="1">
        <v>26.8</v>
      </c>
      <c r="H11" s="1">
        <v>35.700000000000003</v>
      </c>
      <c r="I11" s="1">
        <v>8.14</v>
      </c>
      <c r="J11" s="1">
        <v>26.9</v>
      </c>
      <c r="K11" s="1">
        <v>35.700000000000003</v>
      </c>
      <c r="L11" s="1">
        <v>8.17</v>
      </c>
      <c r="M11" s="1">
        <v>26.8</v>
      </c>
      <c r="N11" s="1">
        <v>35.6</v>
      </c>
      <c r="O11" s="1">
        <v>8.1999999999999993</v>
      </c>
      <c r="P11" s="1">
        <v>26.8</v>
      </c>
      <c r="Q11" s="1">
        <v>35.5</v>
      </c>
      <c r="R11" s="1">
        <v>8.1300000000000008</v>
      </c>
      <c r="S11" s="1">
        <v>26.9</v>
      </c>
      <c r="T11" s="1">
        <v>35.4</v>
      </c>
      <c r="U11" s="1">
        <v>8.14</v>
      </c>
      <c r="V11" s="1">
        <v>26.6</v>
      </c>
      <c r="W11" s="1">
        <v>35.4</v>
      </c>
      <c r="X11" s="1">
        <v>8.1300000000000008</v>
      </c>
      <c r="Y11" s="1">
        <v>26.7</v>
      </c>
      <c r="Z11" s="1">
        <v>35.5</v>
      </c>
      <c r="AA11" s="1">
        <v>8.11</v>
      </c>
      <c r="AB11" s="1">
        <v>27.2</v>
      </c>
      <c r="AC11" s="1">
        <v>35.5</v>
      </c>
      <c r="AD11" s="1">
        <v>8.14</v>
      </c>
      <c r="AE11" s="1">
        <v>27.8</v>
      </c>
      <c r="AF11" s="1">
        <v>35.5</v>
      </c>
      <c r="AG11" s="1">
        <v>8.1300000000000008</v>
      </c>
      <c r="AH11" s="1">
        <v>28.2</v>
      </c>
      <c r="AI11" s="1">
        <v>35.6</v>
      </c>
      <c r="AJ11" s="1">
        <v>8.11</v>
      </c>
      <c r="AK11" s="1">
        <v>28.7</v>
      </c>
      <c r="AL11" s="1">
        <v>35.700000000000003</v>
      </c>
      <c r="AM11" s="1">
        <v>8.11</v>
      </c>
      <c r="AN11" s="1">
        <v>29.2</v>
      </c>
      <c r="AO11" s="1">
        <v>35.799999999999997</v>
      </c>
      <c r="AP11" s="1">
        <v>8.11</v>
      </c>
      <c r="AQ11" s="1">
        <v>29.7</v>
      </c>
      <c r="AR11" s="1">
        <v>36.200000000000003</v>
      </c>
      <c r="AS11" s="1">
        <v>8.1199999999999992</v>
      </c>
      <c r="AT11" s="1">
        <v>30.1</v>
      </c>
      <c r="AU11" s="1">
        <v>36.299999999999997</v>
      </c>
      <c r="AV11" s="1">
        <v>8.09</v>
      </c>
      <c r="AW11" s="1">
        <v>30.8</v>
      </c>
      <c r="AX11" s="1">
        <v>36.299999999999997</v>
      </c>
      <c r="AY11" s="1">
        <v>8.1</v>
      </c>
      <c r="AZ11" s="1">
        <v>31.3</v>
      </c>
      <c r="BA11" s="1">
        <v>36.299999999999997</v>
      </c>
      <c r="BB11" s="1">
        <v>8.08</v>
      </c>
      <c r="BC11" s="1">
        <v>31.7</v>
      </c>
      <c r="BD11" s="1">
        <v>36</v>
      </c>
      <c r="BE11" s="1">
        <v>8.09</v>
      </c>
      <c r="BF11" s="1">
        <v>31.8</v>
      </c>
      <c r="BG11" s="1">
        <v>35.5</v>
      </c>
      <c r="BH11" s="1">
        <v>8.08</v>
      </c>
      <c r="BI11" s="1">
        <v>31.9</v>
      </c>
      <c r="BJ11" s="1">
        <v>35.5</v>
      </c>
      <c r="BK11" s="1">
        <v>8.08</v>
      </c>
      <c r="BL11" s="1">
        <v>31.9</v>
      </c>
      <c r="BM11" s="1">
        <v>35.6</v>
      </c>
      <c r="BN11" s="1">
        <v>8.1300000000000008</v>
      </c>
      <c r="BO11" s="1">
        <v>31.8</v>
      </c>
      <c r="BP11" s="1">
        <v>35.5</v>
      </c>
      <c r="BQ11" s="1">
        <v>8.1300000000000008</v>
      </c>
      <c r="BR11" s="1">
        <v>31.9</v>
      </c>
      <c r="BS11" s="1">
        <v>36.200000000000003</v>
      </c>
      <c r="BT11" s="1">
        <v>8.07</v>
      </c>
      <c r="BU11" s="1">
        <v>31.9</v>
      </c>
      <c r="BV11" s="1">
        <v>36.200000000000003</v>
      </c>
      <c r="BW11" s="1">
        <v>8.11</v>
      </c>
      <c r="BX11" s="1">
        <v>32</v>
      </c>
      <c r="BY11" s="1">
        <v>36.299999999999997</v>
      </c>
      <c r="BZ11" s="1">
        <v>8.14</v>
      </c>
      <c r="CA11" s="1">
        <v>31.9</v>
      </c>
      <c r="CB11" s="4"/>
      <c r="CC11" s="4"/>
      <c r="CD11" s="4"/>
    </row>
    <row r="12" spans="1:82" x14ac:dyDescent="0.2">
      <c r="A12" s="20" t="s">
        <v>51</v>
      </c>
      <c r="B12" s="4"/>
      <c r="C12" s="4"/>
      <c r="D12" s="4"/>
      <c r="E12" s="1">
        <v>35.6</v>
      </c>
      <c r="F12" s="1">
        <v>8.1300000000000008</v>
      </c>
      <c r="G12" s="1">
        <v>27</v>
      </c>
      <c r="H12" s="1">
        <v>35.6</v>
      </c>
      <c r="I12" s="1">
        <v>8.16</v>
      </c>
      <c r="J12" s="1">
        <v>26.7</v>
      </c>
      <c r="K12" s="1">
        <v>35.700000000000003</v>
      </c>
      <c r="L12" s="1">
        <v>8.18</v>
      </c>
      <c r="M12" s="1">
        <v>27</v>
      </c>
      <c r="N12" s="1">
        <v>35.700000000000003</v>
      </c>
      <c r="O12" s="1">
        <v>8.2100000000000009</v>
      </c>
      <c r="P12" s="1">
        <v>26.7</v>
      </c>
      <c r="Q12" s="1">
        <v>35.6</v>
      </c>
      <c r="R12" s="1">
        <v>8.14</v>
      </c>
      <c r="S12" s="1">
        <v>26.8</v>
      </c>
      <c r="T12" s="1">
        <v>35.5</v>
      </c>
      <c r="U12" s="1">
        <v>8.14</v>
      </c>
      <c r="V12" s="1">
        <v>26.9</v>
      </c>
      <c r="W12" s="1">
        <v>35.5</v>
      </c>
      <c r="X12" s="1">
        <v>8.1300000000000008</v>
      </c>
      <c r="Y12" s="1">
        <v>26.7</v>
      </c>
      <c r="Z12" s="1">
        <v>35.5</v>
      </c>
      <c r="AA12" s="1">
        <v>8.09</v>
      </c>
      <c r="AB12" s="1">
        <v>27.3</v>
      </c>
      <c r="AC12" s="1">
        <v>35.6</v>
      </c>
      <c r="AD12" s="1">
        <v>8.14</v>
      </c>
      <c r="AE12" s="1">
        <v>27.9</v>
      </c>
      <c r="AF12" s="1">
        <v>35.6</v>
      </c>
      <c r="AG12" s="1">
        <v>8.1199999999999992</v>
      </c>
      <c r="AH12" s="1">
        <v>28.4</v>
      </c>
      <c r="AI12" s="1">
        <v>35.700000000000003</v>
      </c>
      <c r="AJ12" s="1">
        <v>8.11</v>
      </c>
      <c r="AK12" s="1">
        <v>28.7</v>
      </c>
      <c r="AL12" s="1">
        <v>35.700000000000003</v>
      </c>
      <c r="AM12" s="1">
        <v>8.1300000000000008</v>
      </c>
      <c r="AN12" s="1">
        <v>29.3</v>
      </c>
      <c r="AO12" s="1">
        <v>36</v>
      </c>
      <c r="AP12" s="1">
        <v>8.1199999999999992</v>
      </c>
      <c r="AQ12" s="1">
        <v>29.8</v>
      </c>
      <c r="AR12" s="1">
        <v>36.299999999999997</v>
      </c>
      <c r="AS12" s="1">
        <v>8.1300000000000008</v>
      </c>
      <c r="AT12" s="1">
        <v>30.2</v>
      </c>
      <c r="AU12" s="1">
        <v>36.5</v>
      </c>
      <c r="AV12" s="1">
        <v>8.1</v>
      </c>
      <c r="AW12" s="1">
        <v>30.8</v>
      </c>
      <c r="AX12" s="1">
        <v>36.6</v>
      </c>
      <c r="AY12" s="1">
        <v>8.11</v>
      </c>
      <c r="AZ12" s="1">
        <v>31.5</v>
      </c>
      <c r="BA12" s="1">
        <v>36.6</v>
      </c>
      <c r="BB12" s="1">
        <v>8.1</v>
      </c>
      <c r="BC12" s="1">
        <v>31.7</v>
      </c>
      <c r="BD12" s="1">
        <v>36.5</v>
      </c>
      <c r="BE12" s="1">
        <v>8.09</v>
      </c>
      <c r="BF12" s="1">
        <v>31.8</v>
      </c>
      <c r="BG12" s="1">
        <v>36</v>
      </c>
      <c r="BH12" s="1">
        <v>8.11</v>
      </c>
      <c r="BI12" s="1">
        <v>31.9</v>
      </c>
      <c r="BJ12" s="1">
        <v>35.799999999999997</v>
      </c>
      <c r="BK12" s="1">
        <v>8.1</v>
      </c>
      <c r="BL12" s="1">
        <v>32</v>
      </c>
      <c r="BM12" s="1">
        <v>35.700000000000003</v>
      </c>
      <c r="BN12" s="1">
        <v>8.1300000000000008</v>
      </c>
      <c r="BO12" s="1">
        <v>31.8</v>
      </c>
      <c r="BP12" s="1">
        <v>35.6</v>
      </c>
      <c r="BQ12" s="1">
        <v>8.14</v>
      </c>
      <c r="BR12" s="1">
        <v>31.8</v>
      </c>
      <c r="BS12" s="1">
        <v>36.200000000000003</v>
      </c>
      <c r="BT12" s="1">
        <v>8.09</v>
      </c>
      <c r="BU12" s="1">
        <v>31.9</v>
      </c>
      <c r="BV12" s="1">
        <v>36.299999999999997</v>
      </c>
      <c r="BW12" s="1">
        <v>8.1199999999999992</v>
      </c>
      <c r="BX12" s="1">
        <v>32.1</v>
      </c>
      <c r="BY12" s="1">
        <v>36.299999999999997</v>
      </c>
      <c r="BZ12" s="1">
        <v>8.15</v>
      </c>
      <c r="CA12" s="1">
        <v>31.8</v>
      </c>
      <c r="CB12" s="4"/>
      <c r="CC12" s="4"/>
      <c r="CD12" s="4"/>
    </row>
    <row r="13" spans="1:82" x14ac:dyDescent="0.2">
      <c r="A13" s="20" t="s">
        <v>52</v>
      </c>
      <c r="B13" s="1">
        <v>35.6</v>
      </c>
      <c r="C13" s="1">
        <v>8.11</v>
      </c>
      <c r="D13" s="1">
        <v>26.9</v>
      </c>
      <c r="E13" s="1">
        <v>35.6</v>
      </c>
      <c r="F13" s="1">
        <v>8.1199999999999992</v>
      </c>
      <c r="G13" s="1">
        <v>26.8</v>
      </c>
      <c r="H13" s="1">
        <v>35.6</v>
      </c>
      <c r="I13" s="1">
        <v>8.15</v>
      </c>
      <c r="J13" s="1">
        <v>27</v>
      </c>
      <c r="K13" s="1">
        <v>35.700000000000003</v>
      </c>
      <c r="L13" s="1">
        <v>8.17</v>
      </c>
      <c r="M13" s="1">
        <v>26.9</v>
      </c>
      <c r="N13" s="1">
        <v>35.6</v>
      </c>
      <c r="O13" s="1">
        <v>8.2100000000000009</v>
      </c>
      <c r="P13" s="1">
        <v>26.8</v>
      </c>
      <c r="Q13" s="1">
        <v>35.6</v>
      </c>
      <c r="R13" s="1">
        <v>8.1300000000000008</v>
      </c>
      <c r="S13" s="1">
        <v>27.2</v>
      </c>
      <c r="T13" s="1">
        <v>35.5</v>
      </c>
      <c r="U13" s="1">
        <v>8.14</v>
      </c>
      <c r="V13" s="1">
        <v>26.8</v>
      </c>
      <c r="W13" s="1">
        <v>35.5</v>
      </c>
      <c r="X13" s="1">
        <v>8.1300000000000008</v>
      </c>
      <c r="Y13" s="1">
        <v>27</v>
      </c>
      <c r="Z13" s="1">
        <v>35.5</v>
      </c>
      <c r="AA13" s="1">
        <v>8.1300000000000008</v>
      </c>
      <c r="AB13" s="1">
        <v>27.3</v>
      </c>
      <c r="AC13" s="1">
        <v>35.6</v>
      </c>
      <c r="AD13" s="1">
        <v>8.14</v>
      </c>
      <c r="AE13" s="1">
        <v>27.8</v>
      </c>
      <c r="AF13" s="1">
        <v>35.6</v>
      </c>
      <c r="AG13" s="1">
        <v>8.1199999999999992</v>
      </c>
      <c r="AH13" s="1">
        <v>28.3</v>
      </c>
      <c r="AI13" s="1">
        <v>35.6</v>
      </c>
      <c r="AJ13" s="1">
        <v>8.1</v>
      </c>
      <c r="AK13" s="1">
        <v>28.9</v>
      </c>
      <c r="AL13" s="1">
        <v>35.700000000000003</v>
      </c>
      <c r="AM13" s="1">
        <v>8.11</v>
      </c>
      <c r="AN13" s="1">
        <v>29.2</v>
      </c>
      <c r="AO13" s="1">
        <v>35.799999999999997</v>
      </c>
      <c r="AP13" s="1">
        <v>8.11</v>
      </c>
      <c r="AQ13" s="1">
        <v>30</v>
      </c>
      <c r="AR13" s="1">
        <v>36.299999999999997</v>
      </c>
      <c r="AS13" s="1">
        <v>8.1199999999999992</v>
      </c>
      <c r="AT13" s="1">
        <v>30.5</v>
      </c>
      <c r="AU13" s="1">
        <v>36.4</v>
      </c>
      <c r="AV13" s="1">
        <v>8.09</v>
      </c>
      <c r="AW13" s="1">
        <v>31</v>
      </c>
      <c r="AX13" s="1">
        <v>36.299999999999997</v>
      </c>
      <c r="AY13" s="1">
        <v>8.09</v>
      </c>
      <c r="AZ13" s="1">
        <v>31.5</v>
      </c>
      <c r="BA13" s="1">
        <v>36.4</v>
      </c>
      <c r="BB13" s="1">
        <v>8.09</v>
      </c>
      <c r="BC13" s="1">
        <v>31.8</v>
      </c>
      <c r="BD13" s="1">
        <v>36</v>
      </c>
      <c r="BE13" s="1">
        <v>8.08</v>
      </c>
      <c r="BF13" s="1">
        <v>31.7</v>
      </c>
      <c r="BG13" s="1">
        <v>35.5</v>
      </c>
      <c r="BH13" s="1">
        <v>8.08</v>
      </c>
      <c r="BI13" s="1">
        <v>31.8</v>
      </c>
      <c r="BJ13" s="1">
        <v>35.5</v>
      </c>
      <c r="BK13" s="1">
        <v>8.08</v>
      </c>
      <c r="BL13" s="1">
        <v>31.9</v>
      </c>
      <c r="BM13" s="1">
        <v>35.700000000000003</v>
      </c>
      <c r="BN13" s="1">
        <v>8.1199999999999992</v>
      </c>
      <c r="BO13" s="1">
        <v>31.9</v>
      </c>
      <c r="BP13" s="1">
        <v>35.700000000000003</v>
      </c>
      <c r="BQ13" s="1">
        <v>8.14</v>
      </c>
      <c r="BR13" s="1">
        <v>31.9</v>
      </c>
      <c r="BS13" s="1">
        <v>36.299999999999997</v>
      </c>
      <c r="BT13" s="1">
        <v>8.09</v>
      </c>
      <c r="BU13" s="1">
        <v>32</v>
      </c>
      <c r="BV13" s="1">
        <v>36.200000000000003</v>
      </c>
      <c r="BW13" s="1">
        <v>8.14</v>
      </c>
      <c r="BX13" s="1">
        <v>31.9</v>
      </c>
      <c r="BY13" s="1">
        <v>36.200000000000003</v>
      </c>
      <c r="BZ13" s="1">
        <v>8.15</v>
      </c>
      <c r="CA13" s="1">
        <v>32</v>
      </c>
      <c r="CB13" s="4"/>
      <c r="CC13" s="4"/>
      <c r="CD13" s="4"/>
    </row>
    <row r="14" spans="1:82" x14ac:dyDescent="0.2">
      <c r="A14" s="20" t="s">
        <v>53</v>
      </c>
      <c r="B14" s="4"/>
      <c r="C14" s="4"/>
      <c r="D14" s="4"/>
      <c r="E14" s="1">
        <v>35.6</v>
      </c>
      <c r="F14" s="1">
        <v>8.1199999999999992</v>
      </c>
      <c r="G14" s="1">
        <v>26.7</v>
      </c>
      <c r="H14" s="1">
        <v>35.700000000000003</v>
      </c>
      <c r="I14" s="1">
        <v>8.17</v>
      </c>
      <c r="J14" s="1">
        <v>26.8</v>
      </c>
      <c r="K14" s="1">
        <v>35.700000000000003</v>
      </c>
      <c r="L14" s="1">
        <v>8.17</v>
      </c>
      <c r="M14" s="1">
        <v>26.8</v>
      </c>
      <c r="N14" s="1">
        <v>35.6</v>
      </c>
      <c r="O14" s="1">
        <v>8.1999999999999993</v>
      </c>
      <c r="P14" s="1">
        <v>26.7</v>
      </c>
      <c r="Q14" s="1">
        <v>35.799999999999997</v>
      </c>
      <c r="R14" s="1">
        <v>8.1199999999999992</v>
      </c>
      <c r="S14" s="1">
        <v>26.8</v>
      </c>
      <c r="T14" s="1">
        <v>35.6</v>
      </c>
      <c r="U14" s="1">
        <v>8.14</v>
      </c>
      <c r="V14" s="1">
        <v>26.7</v>
      </c>
      <c r="W14" s="1">
        <v>35.5</v>
      </c>
      <c r="X14" s="1">
        <v>8.1300000000000008</v>
      </c>
      <c r="Y14" s="1">
        <v>26.8</v>
      </c>
      <c r="Z14" s="1">
        <v>35.6</v>
      </c>
      <c r="AA14" s="1">
        <v>8.1199999999999992</v>
      </c>
      <c r="AB14" s="1">
        <v>27.3</v>
      </c>
      <c r="AC14" s="1">
        <v>35.6</v>
      </c>
      <c r="AD14" s="1">
        <v>8.14</v>
      </c>
      <c r="AE14" s="1">
        <v>27.9</v>
      </c>
      <c r="AF14" s="1">
        <v>35.6</v>
      </c>
      <c r="AG14" s="1">
        <v>8.1300000000000008</v>
      </c>
      <c r="AH14" s="1">
        <v>28.3</v>
      </c>
      <c r="AI14" s="1">
        <v>35.700000000000003</v>
      </c>
      <c r="AJ14" s="1">
        <v>8.11</v>
      </c>
      <c r="AK14" s="1">
        <v>28.9</v>
      </c>
      <c r="AL14" s="1">
        <v>35.700000000000003</v>
      </c>
      <c r="AM14" s="1">
        <v>8.1199999999999992</v>
      </c>
      <c r="AN14" s="1">
        <v>29.2</v>
      </c>
      <c r="AO14" s="1">
        <v>35.700000000000003</v>
      </c>
      <c r="AP14" s="1">
        <v>8.1199999999999992</v>
      </c>
      <c r="AQ14" s="1">
        <v>29.8</v>
      </c>
      <c r="AR14" s="1">
        <v>36.299999999999997</v>
      </c>
      <c r="AS14" s="1">
        <v>8.1300000000000008</v>
      </c>
      <c r="AT14" s="1">
        <v>30.3</v>
      </c>
      <c r="AU14" s="1">
        <v>36.299999999999997</v>
      </c>
      <c r="AV14" s="1">
        <v>8.09</v>
      </c>
      <c r="AW14" s="1">
        <v>30.8</v>
      </c>
      <c r="AX14" s="1">
        <v>36.4</v>
      </c>
      <c r="AY14" s="1">
        <v>8.1</v>
      </c>
      <c r="AZ14" s="1">
        <v>31.3</v>
      </c>
      <c r="BA14" s="1">
        <v>36.4</v>
      </c>
      <c r="BB14" s="1">
        <v>8.09</v>
      </c>
      <c r="BC14" s="1">
        <v>31.7</v>
      </c>
      <c r="BD14" s="1">
        <v>36.200000000000003</v>
      </c>
      <c r="BE14" s="1">
        <v>8.08</v>
      </c>
      <c r="BF14" s="1">
        <v>31.7</v>
      </c>
      <c r="BG14" s="1">
        <v>35.700000000000003</v>
      </c>
      <c r="BH14" s="1">
        <v>8.1</v>
      </c>
      <c r="BI14" s="1">
        <v>31.7</v>
      </c>
      <c r="BJ14" s="1">
        <v>35.6</v>
      </c>
      <c r="BK14" s="1">
        <v>8.09</v>
      </c>
      <c r="BL14" s="1">
        <v>31.8</v>
      </c>
      <c r="BM14" s="1">
        <v>35.6</v>
      </c>
      <c r="BN14" s="1">
        <v>8.1300000000000008</v>
      </c>
      <c r="BO14" s="1">
        <v>31.8</v>
      </c>
      <c r="BP14" s="1">
        <v>35.700000000000003</v>
      </c>
      <c r="BQ14" s="1">
        <v>8.15</v>
      </c>
      <c r="BR14" s="1">
        <v>31.8</v>
      </c>
      <c r="BS14" s="1">
        <v>36.1</v>
      </c>
      <c r="BT14" s="1">
        <v>8.1</v>
      </c>
      <c r="BU14" s="1">
        <v>31.8</v>
      </c>
      <c r="BV14" s="1">
        <v>36.299999999999997</v>
      </c>
      <c r="BW14" s="1">
        <v>8.14</v>
      </c>
      <c r="BX14" s="1">
        <v>31.8</v>
      </c>
      <c r="BY14" s="1">
        <v>36.200000000000003</v>
      </c>
      <c r="BZ14" s="1">
        <v>8.15</v>
      </c>
      <c r="CA14" s="1">
        <v>31.8</v>
      </c>
      <c r="CB14" s="4"/>
      <c r="CC14" s="4"/>
      <c r="CD14" s="4"/>
    </row>
    <row r="15" spans="1:82" x14ac:dyDescent="0.2">
      <c r="A15" s="20" t="s">
        <v>54</v>
      </c>
      <c r="B15" s="1">
        <v>35.700000000000003</v>
      </c>
      <c r="C15" s="1">
        <v>8.11</v>
      </c>
      <c r="D15" s="1">
        <v>27.2</v>
      </c>
      <c r="E15" s="1">
        <v>35.6</v>
      </c>
      <c r="F15" s="1">
        <v>8.1300000000000008</v>
      </c>
      <c r="G15" s="1">
        <v>27</v>
      </c>
      <c r="H15" s="1">
        <v>35.700000000000003</v>
      </c>
      <c r="I15" s="1">
        <v>8.16</v>
      </c>
      <c r="J15" s="1">
        <v>26.8</v>
      </c>
      <c r="K15" s="1">
        <v>35.799999999999997</v>
      </c>
      <c r="L15" s="1">
        <v>8.18</v>
      </c>
      <c r="M15" s="1">
        <v>27.2</v>
      </c>
      <c r="N15" s="1">
        <v>35.700000000000003</v>
      </c>
      <c r="O15" s="1">
        <v>8.1999999999999993</v>
      </c>
      <c r="P15" s="1">
        <v>26.9</v>
      </c>
      <c r="Q15" s="1">
        <v>35.6</v>
      </c>
      <c r="R15" s="1">
        <v>8.14</v>
      </c>
      <c r="S15" s="1">
        <v>26.9</v>
      </c>
      <c r="T15" s="1">
        <v>35.799999999999997</v>
      </c>
      <c r="U15" s="1">
        <v>8.1199999999999992</v>
      </c>
      <c r="V15" s="1">
        <v>26.7</v>
      </c>
      <c r="W15" s="1">
        <v>35.6</v>
      </c>
      <c r="X15" s="1">
        <v>8.1199999999999992</v>
      </c>
      <c r="Y15" s="1">
        <v>26.9</v>
      </c>
      <c r="Z15" s="1">
        <v>35.6</v>
      </c>
      <c r="AA15" s="1">
        <v>8.1199999999999992</v>
      </c>
      <c r="AB15" s="1">
        <v>27.1</v>
      </c>
      <c r="AC15" s="1">
        <v>35.6</v>
      </c>
      <c r="AD15" s="1">
        <v>8.15</v>
      </c>
      <c r="AE15" s="1">
        <v>27.8</v>
      </c>
      <c r="AF15" s="1">
        <v>35.6</v>
      </c>
      <c r="AG15" s="1">
        <v>8.1300000000000008</v>
      </c>
      <c r="AH15" s="1">
        <v>28.6</v>
      </c>
      <c r="AI15" s="1">
        <v>35.700000000000003</v>
      </c>
      <c r="AJ15" s="1">
        <v>8.11</v>
      </c>
      <c r="AK15" s="1">
        <v>29.1</v>
      </c>
      <c r="AL15" s="1">
        <v>35.700000000000003</v>
      </c>
      <c r="AM15" s="1">
        <v>8.1199999999999992</v>
      </c>
      <c r="AN15" s="1">
        <v>29.6</v>
      </c>
      <c r="AO15" s="1">
        <v>35.799999999999997</v>
      </c>
      <c r="AP15" s="1">
        <v>8.1199999999999992</v>
      </c>
      <c r="AQ15" s="1">
        <v>30</v>
      </c>
      <c r="AR15" s="1">
        <v>36.299999999999997</v>
      </c>
      <c r="AS15" s="1">
        <v>8.14</v>
      </c>
      <c r="AT15" s="1">
        <v>30.1</v>
      </c>
      <c r="AU15" s="1">
        <v>36.299999999999997</v>
      </c>
      <c r="AV15" s="1">
        <v>8.1</v>
      </c>
      <c r="AW15" s="1">
        <v>30.9</v>
      </c>
      <c r="AX15" s="1">
        <v>36.299999999999997</v>
      </c>
      <c r="AY15" s="1">
        <v>8.11</v>
      </c>
      <c r="AZ15" s="1">
        <v>31.3</v>
      </c>
      <c r="BA15" s="1">
        <v>36.299999999999997</v>
      </c>
      <c r="BB15" s="1">
        <v>8.09</v>
      </c>
      <c r="BC15" s="1">
        <v>31.9</v>
      </c>
      <c r="BD15" s="1">
        <v>36</v>
      </c>
      <c r="BE15" s="1">
        <v>8.09</v>
      </c>
      <c r="BF15" s="1">
        <v>31.7</v>
      </c>
      <c r="BG15" s="1">
        <v>35.6</v>
      </c>
      <c r="BH15" s="1">
        <v>8.11</v>
      </c>
      <c r="BI15" s="1">
        <v>31.8</v>
      </c>
      <c r="BJ15" s="1">
        <v>35.4</v>
      </c>
      <c r="BK15" s="1">
        <v>8.09</v>
      </c>
      <c r="BL15" s="1">
        <v>32</v>
      </c>
      <c r="BM15" s="1">
        <v>35.6</v>
      </c>
      <c r="BN15" s="1">
        <v>8.1300000000000008</v>
      </c>
      <c r="BO15" s="1">
        <v>31.9</v>
      </c>
      <c r="BP15" s="1">
        <v>35.5</v>
      </c>
      <c r="BQ15" s="1">
        <v>8.15</v>
      </c>
      <c r="BR15" s="1">
        <v>31.9</v>
      </c>
      <c r="BS15" s="1">
        <v>36.200000000000003</v>
      </c>
      <c r="BT15" s="1">
        <v>8.11</v>
      </c>
      <c r="BU15" s="1">
        <v>31.7</v>
      </c>
      <c r="BV15" s="1">
        <v>36.200000000000003</v>
      </c>
      <c r="BW15" s="1">
        <v>8.15</v>
      </c>
      <c r="BX15" s="1">
        <v>31.9</v>
      </c>
      <c r="BY15" s="1">
        <v>36.200000000000003</v>
      </c>
      <c r="BZ15" s="1">
        <v>8.16</v>
      </c>
      <c r="CA15" s="1">
        <v>31.8</v>
      </c>
      <c r="CB15" s="4"/>
      <c r="CC15" s="4"/>
      <c r="CD15" s="4"/>
    </row>
    <row r="16" spans="1:82" x14ac:dyDescent="0.2">
      <c r="A16" s="20" t="s">
        <v>55</v>
      </c>
      <c r="B16" s="4"/>
      <c r="C16" s="4"/>
      <c r="D16" s="4"/>
      <c r="E16" s="1">
        <v>35.700000000000003</v>
      </c>
      <c r="F16" s="1">
        <v>8.14</v>
      </c>
      <c r="G16" s="1">
        <v>26.6</v>
      </c>
      <c r="H16" s="1">
        <v>35.700000000000003</v>
      </c>
      <c r="I16" s="1">
        <v>8.18</v>
      </c>
      <c r="J16" s="1">
        <v>26.6</v>
      </c>
      <c r="K16" s="1">
        <v>35.9</v>
      </c>
      <c r="L16" s="1">
        <v>8.17</v>
      </c>
      <c r="M16" s="1">
        <v>26.8</v>
      </c>
      <c r="N16" s="1">
        <v>35.799999999999997</v>
      </c>
      <c r="O16" s="1">
        <v>8.19</v>
      </c>
      <c r="P16" s="1">
        <v>26.6</v>
      </c>
      <c r="Q16" s="1">
        <v>35.5</v>
      </c>
      <c r="R16" s="1">
        <v>8.1300000000000008</v>
      </c>
      <c r="S16" s="1">
        <v>26.8</v>
      </c>
      <c r="T16" s="1">
        <v>35.5</v>
      </c>
      <c r="U16" s="1">
        <v>8.14</v>
      </c>
      <c r="V16" s="1">
        <v>26.7</v>
      </c>
      <c r="W16" s="1">
        <v>35.6</v>
      </c>
      <c r="X16" s="1">
        <v>8.11</v>
      </c>
      <c r="Y16" s="1">
        <v>26.7</v>
      </c>
      <c r="Z16" s="1">
        <v>35.5</v>
      </c>
      <c r="AA16" s="1">
        <v>8.1199999999999992</v>
      </c>
      <c r="AB16" s="1">
        <v>27.2</v>
      </c>
      <c r="AC16" s="1">
        <v>35.5</v>
      </c>
      <c r="AD16" s="1">
        <v>8.15</v>
      </c>
      <c r="AE16" s="1">
        <v>27.7</v>
      </c>
      <c r="AF16" s="1">
        <v>35.6</v>
      </c>
      <c r="AG16" s="1">
        <v>8.14</v>
      </c>
      <c r="AH16" s="1">
        <v>28.2</v>
      </c>
      <c r="AI16" s="1">
        <v>35.6</v>
      </c>
      <c r="AJ16" s="1">
        <v>8.1199999999999992</v>
      </c>
      <c r="AK16" s="1">
        <v>28.7</v>
      </c>
      <c r="AL16" s="1">
        <v>35.700000000000003</v>
      </c>
      <c r="AM16" s="1">
        <v>8.1199999999999992</v>
      </c>
      <c r="AN16" s="1">
        <v>29.3</v>
      </c>
      <c r="AO16" s="1">
        <v>35.799999999999997</v>
      </c>
      <c r="AP16" s="1">
        <v>8.1199999999999992</v>
      </c>
      <c r="AQ16" s="1">
        <v>29.8</v>
      </c>
      <c r="AR16" s="1">
        <v>36.200000000000003</v>
      </c>
      <c r="AS16" s="1">
        <v>8.14</v>
      </c>
      <c r="AT16" s="1">
        <v>30.2</v>
      </c>
      <c r="AU16" s="1">
        <v>36.299999999999997</v>
      </c>
      <c r="AV16" s="1">
        <v>8.1</v>
      </c>
      <c r="AW16" s="1">
        <v>30.8</v>
      </c>
      <c r="AX16" s="1">
        <v>36.299999999999997</v>
      </c>
      <c r="AY16" s="1">
        <v>8.1</v>
      </c>
      <c r="AZ16" s="1">
        <v>31.3</v>
      </c>
      <c r="BA16" s="1">
        <v>36.4</v>
      </c>
      <c r="BB16" s="1">
        <v>8.09</v>
      </c>
      <c r="BC16" s="1">
        <v>31.7</v>
      </c>
      <c r="BD16" s="1">
        <v>36.200000000000003</v>
      </c>
      <c r="BE16" s="1">
        <v>8.08</v>
      </c>
      <c r="BF16" s="1">
        <v>31.6</v>
      </c>
      <c r="BG16" s="1">
        <v>35.700000000000003</v>
      </c>
      <c r="BH16" s="1">
        <v>8.11</v>
      </c>
      <c r="BI16" s="1">
        <v>31.8</v>
      </c>
      <c r="BJ16" s="1">
        <v>35.6</v>
      </c>
      <c r="BK16" s="1">
        <v>8.09</v>
      </c>
      <c r="BL16" s="1">
        <v>31.8</v>
      </c>
      <c r="BM16" s="1">
        <v>35.700000000000003</v>
      </c>
      <c r="BN16" s="1">
        <v>8.14</v>
      </c>
      <c r="BO16" s="1">
        <v>31.8</v>
      </c>
      <c r="BP16" s="1">
        <v>35.6</v>
      </c>
      <c r="BQ16" s="1">
        <v>8.14</v>
      </c>
      <c r="BR16" s="1">
        <v>31.9</v>
      </c>
      <c r="BS16" s="1">
        <v>35.9</v>
      </c>
      <c r="BT16" s="1">
        <v>8.11</v>
      </c>
      <c r="BU16" s="1">
        <v>31.8</v>
      </c>
      <c r="BV16" s="1">
        <v>36.200000000000003</v>
      </c>
      <c r="BW16" s="1">
        <v>8.14</v>
      </c>
      <c r="BX16" s="1">
        <v>31.9</v>
      </c>
      <c r="BY16" s="1">
        <v>36.299999999999997</v>
      </c>
      <c r="BZ16" s="1">
        <v>8.15</v>
      </c>
      <c r="CA16" s="1">
        <v>31.9</v>
      </c>
      <c r="CB16" s="4"/>
      <c r="CC16" s="4"/>
      <c r="CD16" s="4"/>
    </row>
    <row r="17" spans="1:82" x14ac:dyDescent="0.2">
      <c r="A17" s="20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</row>
    <row r="18" spans="1:82" x14ac:dyDescent="0.2">
      <c r="A18" s="20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1" t="s">
        <v>16</v>
      </c>
      <c r="AJ18" s="4"/>
      <c r="AK18" s="4"/>
      <c r="AL18" s="1" t="s">
        <v>93</v>
      </c>
      <c r="AM18" s="4"/>
      <c r="AN18" s="4"/>
      <c r="AO18" s="1" t="s">
        <v>16</v>
      </c>
      <c r="AP18" s="4"/>
      <c r="AQ18" s="4"/>
      <c r="AR18" s="4"/>
      <c r="AS18" s="4"/>
      <c r="AT18" s="4"/>
      <c r="AU18" s="1" t="s">
        <v>16</v>
      </c>
      <c r="AV18" s="4"/>
      <c r="AW18" s="4"/>
      <c r="AX18" s="4"/>
      <c r="AY18" s="4"/>
      <c r="AZ18" s="1" t="s">
        <v>94</v>
      </c>
      <c r="BA18" s="1" t="s">
        <v>16</v>
      </c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</row>
    <row r="19" spans="1:82" x14ac:dyDescent="0.2">
      <c r="A19" s="20" t="s">
        <v>95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1" t="s">
        <v>93</v>
      </c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</row>
    <row r="20" spans="1:82" x14ac:dyDescent="0.2">
      <c r="A20" s="20" t="s">
        <v>88</v>
      </c>
      <c r="B20" s="35">
        <v>45477</v>
      </c>
      <c r="C20" s="35">
        <v>45478</v>
      </c>
      <c r="D20" s="35">
        <v>45479</v>
      </c>
      <c r="E20" s="35">
        <v>45480</v>
      </c>
      <c r="F20" s="35">
        <v>45481</v>
      </c>
      <c r="G20" s="35">
        <v>45482</v>
      </c>
      <c r="H20" s="35">
        <v>45483</v>
      </c>
      <c r="I20" s="35">
        <v>45484</v>
      </c>
      <c r="J20" s="35">
        <v>45485</v>
      </c>
      <c r="K20" s="35">
        <v>45486</v>
      </c>
      <c r="L20" s="35">
        <v>45487</v>
      </c>
      <c r="M20" s="35">
        <v>45488</v>
      </c>
      <c r="N20" s="35">
        <v>45489</v>
      </c>
      <c r="O20" s="35">
        <v>45490</v>
      </c>
      <c r="P20" s="35">
        <v>45491</v>
      </c>
      <c r="Q20" s="35">
        <v>45492</v>
      </c>
      <c r="R20" s="35">
        <v>45493</v>
      </c>
      <c r="S20" s="35">
        <v>45494</v>
      </c>
      <c r="T20" s="35">
        <v>45495</v>
      </c>
      <c r="U20" s="35">
        <v>45496</v>
      </c>
      <c r="V20" s="35">
        <v>45497</v>
      </c>
      <c r="W20" s="35">
        <v>45498</v>
      </c>
      <c r="X20" s="35">
        <v>45499</v>
      </c>
      <c r="Y20" s="35">
        <v>45500</v>
      </c>
      <c r="Z20" s="35">
        <v>45501</v>
      </c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</row>
    <row r="21" spans="1:82" x14ac:dyDescent="0.2">
      <c r="A21" s="20" t="s">
        <v>42</v>
      </c>
      <c r="B21" s="1">
        <v>27</v>
      </c>
      <c r="C21" s="1">
        <v>26.8</v>
      </c>
      <c r="D21" s="1">
        <v>27</v>
      </c>
      <c r="E21" s="4">
        <v>27</v>
      </c>
      <c r="F21" s="1">
        <v>27</v>
      </c>
      <c r="G21" s="1">
        <v>26.6</v>
      </c>
      <c r="H21" s="1">
        <v>26.7</v>
      </c>
      <c r="I21" s="1">
        <v>26.7</v>
      </c>
      <c r="J21" s="1">
        <v>27</v>
      </c>
      <c r="K21" s="1">
        <v>26.7</v>
      </c>
      <c r="L21" s="1">
        <v>26.7</v>
      </c>
      <c r="M21" s="1">
        <v>27.2</v>
      </c>
      <c r="N21" s="1">
        <v>26.9</v>
      </c>
      <c r="O21" s="1">
        <v>26.7</v>
      </c>
      <c r="P21" s="1">
        <v>26.7</v>
      </c>
      <c r="Q21" s="1">
        <v>26.9</v>
      </c>
      <c r="R21" s="1">
        <v>26.8</v>
      </c>
      <c r="S21" s="1">
        <v>26.9</v>
      </c>
      <c r="T21" s="1">
        <v>26.8</v>
      </c>
      <c r="U21" s="1">
        <v>27</v>
      </c>
      <c r="V21" s="1">
        <v>26.9</v>
      </c>
      <c r="W21" s="1">
        <v>26.8</v>
      </c>
      <c r="X21" s="1">
        <v>26.9</v>
      </c>
      <c r="Y21" s="1">
        <v>27.2</v>
      </c>
      <c r="Z21" s="1">
        <v>27</v>
      </c>
      <c r="AA21" s="1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</row>
    <row r="22" spans="1:82" x14ac:dyDescent="0.2">
      <c r="A22" s="20" t="s">
        <v>43</v>
      </c>
      <c r="B22" s="1">
        <v>27</v>
      </c>
      <c r="C22" s="1">
        <v>26.8</v>
      </c>
      <c r="D22" s="1">
        <v>26.8</v>
      </c>
      <c r="E22" s="4">
        <v>26.9</v>
      </c>
      <c r="F22" s="1">
        <v>26.8</v>
      </c>
      <c r="G22" s="1">
        <v>26.6</v>
      </c>
      <c r="H22" s="1">
        <v>26.9</v>
      </c>
      <c r="I22" s="1">
        <v>26.9</v>
      </c>
      <c r="J22" s="1">
        <v>27</v>
      </c>
      <c r="K22" s="1">
        <v>26.8</v>
      </c>
      <c r="L22" s="1">
        <v>26.7</v>
      </c>
      <c r="M22" s="1">
        <v>27</v>
      </c>
      <c r="N22" s="1">
        <v>26.8</v>
      </c>
      <c r="O22" s="1">
        <v>26.9</v>
      </c>
      <c r="P22" s="1">
        <v>26.9</v>
      </c>
      <c r="Q22" s="1">
        <v>27</v>
      </c>
      <c r="R22" s="1">
        <v>26.9</v>
      </c>
      <c r="S22" s="1">
        <v>26.8</v>
      </c>
      <c r="T22" s="1">
        <v>26.9</v>
      </c>
      <c r="U22" s="1">
        <v>26.8</v>
      </c>
      <c r="V22" s="1">
        <v>26.7</v>
      </c>
      <c r="W22" s="1">
        <v>26.8</v>
      </c>
      <c r="X22" s="1">
        <v>27</v>
      </c>
      <c r="Y22" s="1">
        <v>27.1</v>
      </c>
      <c r="Z22" s="1">
        <v>26.8</v>
      </c>
      <c r="AA22" s="1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</row>
    <row r="23" spans="1:82" x14ac:dyDescent="0.2">
      <c r="A23" s="20" t="s">
        <v>44</v>
      </c>
      <c r="B23" s="1">
        <v>26.7</v>
      </c>
      <c r="C23" s="1">
        <v>26.5</v>
      </c>
      <c r="D23" s="1">
        <v>26.6</v>
      </c>
      <c r="E23" s="1">
        <v>26.7</v>
      </c>
      <c r="F23" s="1">
        <v>26.7</v>
      </c>
      <c r="G23" s="1">
        <v>26.8</v>
      </c>
      <c r="H23" s="1">
        <v>26.6</v>
      </c>
      <c r="I23" s="1">
        <v>26.6</v>
      </c>
      <c r="J23" s="1">
        <v>27.2</v>
      </c>
      <c r="K23" s="1">
        <v>27.6</v>
      </c>
      <c r="L23" s="1">
        <v>28.1</v>
      </c>
      <c r="M23" s="1">
        <v>28.8</v>
      </c>
      <c r="N23" s="1">
        <v>29.2</v>
      </c>
      <c r="O23" s="1">
        <v>29.7</v>
      </c>
      <c r="P23" s="1">
        <v>30.2</v>
      </c>
      <c r="Q23" s="1">
        <v>30.7</v>
      </c>
      <c r="R23" s="1">
        <v>31.3</v>
      </c>
      <c r="S23" s="1">
        <v>31.7</v>
      </c>
      <c r="T23" s="1">
        <v>31.8</v>
      </c>
      <c r="U23" s="1">
        <v>31.9</v>
      </c>
      <c r="V23" s="1">
        <v>31.8</v>
      </c>
      <c r="W23" s="1">
        <v>31.9</v>
      </c>
      <c r="X23" s="1">
        <v>31.9</v>
      </c>
      <c r="Y23" s="1">
        <v>31.9</v>
      </c>
      <c r="Z23" s="1">
        <v>31.9</v>
      </c>
      <c r="AA23" s="1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</row>
    <row r="24" spans="1:82" x14ac:dyDescent="0.2">
      <c r="A24" s="20" t="s">
        <v>45</v>
      </c>
      <c r="B24" s="4"/>
      <c r="C24" s="1">
        <v>26.6</v>
      </c>
      <c r="D24" s="1">
        <v>26.9</v>
      </c>
      <c r="E24" s="1">
        <v>26.8</v>
      </c>
      <c r="F24" s="1">
        <v>26.5</v>
      </c>
      <c r="G24" s="1">
        <v>26.7</v>
      </c>
      <c r="H24" s="1">
        <v>26.7</v>
      </c>
      <c r="I24" s="1">
        <v>26.7</v>
      </c>
      <c r="J24" s="1">
        <v>27.4</v>
      </c>
      <c r="K24" s="1">
        <v>28</v>
      </c>
      <c r="L24" s="1">
        <v>28.4</v>
      </c>
      <c r="M24" s="1">
        <v>28.8</v>
      </c>
      <c r="N24" s="1">
        <v>29.3</v>
      </c>
      <c r="O24" s="1">
        <v>30</v>
      </c>
      <c r="P24" s="1">
        <v>30.5</v>
      </c>
      <c r="Q24" s="1">
        <v>31</v>
      </c>
      <c r="R24" s="1">
        <v>31.3</v>
      </c>
      <c r="S24" s="1">
        <v>31.7</v>
      </c>
      <c r="T24" s="1">
        <v>31.7</v>
      </c>
      <c r="U24" s="1">
        <v>31.7</v>
      </c>
      <c r="V24" s="1">
        <v>31.8</v>
      </c>
      <c r="W24" s="1">
        <v>31.7</v>
      </c>
      <c r="X24" s="1">
        <v>31.9</v>
      </c>
      <c r="Y24" s="1">
        <v>31.7</v>
      </c>
      <c r="Z24" s="1">
        <v>31.7</v>
      </c>
      <c r="AA24" s="1"/>
    </row>
    <row r="25" spans="1:82" x14ac:dyDescent="0.2">
      <c r="A25" s="20" t="s">
        <v>46</v>
      </c>
      <c r="B25" s="1">
        <v>26.9</v>
      </c>
      <c r="C25" s="1">
        <v>26.8</v>
      </c>
      <c r="D25" s="1">
        <v>26.8</v>
      </c>
      <c r="E25" s="1">
        <v>26.8</v>
      </c>
      <c r="F25" s="1">
        <v>26.9</v>
      </c>
      <c r="G25" s="1">
        <v>26.7</v>
      </c>
      <c r="H25" s="1">
        <v>26.7</v>
      </c>
      <c r="I25" s="1">
        <v>26.8</v>
      </c>
      <c r="J25" s="1">
        <v>26.8</v>
      </c>
      <c r="K25" s="1">
        <v>26.8</v>
      </c>
      <c r="L25" s="1">
        <v>26.8</v>
      </c>
      <c r="M25" s="1">
        <v>27</v>
      </c>
      <c r="N25" s="1">
        <v>26.8</v>
      </c>
      <c r="O25" s="1">
        <v>26.8</v>
      </c>
      <c r="P25" s="1">
        <v>27</v>
      </c>
      <c r="Q25" s="1">
        <v>27</v>
      </c>
      <c r="R25" s="1">
        <v>26.9</v>
      </c>
      <c r="S25" s="1">
        <v>27.1</v>
      </c>
      <c r="T25" s="1">
        <v>27</v>
      </c>
      <c r="U25" s="1">
        <v>26.8</v>
      </c>
      <c r="V25" s="1">
        <v>27</v>
      </c>
      <c r="W25" s="1">
        <v>26.9</v>
      </c>
      <c r="X25" s="1">
        <v>27</v>
      </c>
      <c r="Y25" s="1">
        <v>27.1</v>
      </c>
      <c r="Z25" s="1">
        <v>27.2</v>
      </c>
      <c r="AA25" s="1"/>
    </row>
    <row r="26" spans="1:82" x14ac:dyDescent="0.2">
      <c r="A26" s="20" t="s">
        <v>47</v>
      </c>
      <c r="B26" s="4"/>
      <c r="C26" s="1">
        <v>26.8</v>
      </c>
      <c r="D26" s="1">
        <v>26.7</v>
      </c>
      <c r="E26" s="1">
        <v>26.8</v>
      </c>
      <c r="F26" s="1">
        <v>26.8</v>
      </c>
      <c r="G26" s="1">
        <v>26.7</v>
      </c>
      <c r="H26" s="1">
        <v>26.7</v>
      </c>
      <c r="I26" s="1">
        <v>26.6</v>
      </c>
      <c r="J26" s="1">
        <v>26.7</v>
      </c>
      <c r="K26" s="1">
        <v>26.7</v>
      </c>
      <c r="L26" s="1">
        <v>26.7</v>
      </c>
      <c r="M26" s="1">
        <v>26.8</v>
      </c>
      <c r="N26" s="1">
        <v>26.7</v>
      </c>
      <c r="O26" s="1">
        <v>26.8</v>
      </c>
      <c r="P26" s="1">
        <v>26.8</v>
      </c>
      <c r="Q26" s="1">
        <v>26.9</v>
      </c>
      <c r="R26" s="1">
        <v>26.9</v>
      </c>
      <c r="S26" s="1">
        <v>26.8</v>
      </c>
      <c r="T26" s="1">
        <v>26.9</v>
      </c>
      <c r="U26" s="1">
        <v>26.8</v>
      </c>
      <c r="V26" s="1">
        <v>26.8</v>
      </c>
      <c r="W26" s="1">
        <v>26.7</v>
      </c>
      <c r="X26" s="1">
        <v>26.9</v>
      </c>
      <c r="Y26" s="1">
        <v>26.9</v>
      </c>
      <c r="Z26" s="1">
        <v>27.1</v>
      </c>
      <c r="AA26" s="1"/>
    </row>
    <row r="27" spans="1:82" x14ac:dyDescent="0.2">
      <c r="A27" s="20" t="s">
        <v>48</v>
      </c>
      <c r="B27" s="1">
        <v>28.1</v>
      </c>
      <c r="C27" s="1">
        <v>27</v>
      </c>
      <c r="D27" s="1">
        <v>26.9</v>
      </c>
      <c r="E27" s="1">
        <v>27</v>
      </c>
      <c r="F27" s="1">
        <v>26.9</v>
      </c>
      <c r="G27" s="1">
        <v>26.7</v>
      </c>
      <c r="H27" s="1">
        <v>26.8</v>
      </c>
      <c r="I27" s="1">
        <v>26.7</v>
      </c>
      <c r="J27" s="1">
        <v>27.2</v>
      </c>
      <c r="K27" s="1">
        <v>27.7</v>
      </c>
      <c r="L27" s="1">
        <v>28.2</v>
      </c>
      <c r="M27" s="1">
        <v>28.9</v>
      </c>
      <c r="N27" s="1">
        <v>29.3</v>
      </c>
      <c r="O27" s="1">
        <v>29.9</v>
      </c>
      <c r="P27" s="1">
        <v>30.3</v>
      </c>
      <c r="Q27" s="1">
        <v>30.8</v>
      </c>
      <c r="R27" s="1">
        <v>31.4</v>
      </c>
      <c r="S27" s="1">
        <v>31.8</v>
      </c>
      <c r="T27" s="1">
        <v>31.8</v>
      </c>
      <c r="U27" s="1">
        <v>31.8</v>
      </c>
      <c r="V27" s="1">
        <v>31.8</v>
      </c>
      <c r="W27" s="1">
        <v>31.9</v>
      </c>
      <c r="X27" s="1">
        <v>32</v>
      </c>
      <c r="Y27" s="1">
        <v>32</v>
      </c>
      <c r="Z27" s="1">
        <v>32</v>
      </c>
      <c r="AA27" s="1"/>
    </row>
    <row r="28" spans="1:82" x14ac:dyDescent="0.2">
      <c r="A28" s="20" t="s">
        <v>49</v>
      </c>
      <c r="B28" s="4"/>
      <c r="C28" s="1">
        <v>26.8</v>
      </c>
      <c r="D28" s="1">
        <v>26.8</v>
      </c>
      <c r="E28" s="1">
        <v>26.8</v>
      </c>
      <c r="F28" s="1">
        <v>26.8</v>
      </c>
      <c r="G28" s="1">
        <v>26.6</v>
      </c>
      <c r="H28" s="1">
        <v>26.9</v>
      </c>
      <c r="I28" s="1">
        <v>27</v>
      </c>
      <c r="J28" s="1">
        <v>27.2</v>
      </c>
      <c r="K28" s="1">
        <v>27.8</v>
      </c>
      <c r="L28" s="1">
        <v>28.5</v>
      </c>
      <c r="M28" s="1">
        <v>28.9</v>
      </c>
      <c r="N28" s="1">
        <v>29.4</v>
      </c>
      <c r="O28" s="1">
        <v>29.7</v>
      </c>
      <c r="P28" s="1">
        <v>30.1</v>
      </c>
      <c r="Q28" s="1">
        <v>31</v>
      </c>
      <c r="R28" s="1">
        <v>31.5</v>
      </c>
      <c r="S28" s="1">
        <v>31.8</v>
      </c>
      <c r="T28" s="1">
        <v>31.9</v>
      </c>
      <c r="U28" s="1">
        <v>31.9</v>
      </c>
      <c r="V28" s="1">
        <v>31.9</v>
      </c>
      <c r="W28" s="1">
        <v>31.9</v>
      </c>
      <c r="X28" s="1">
        <v>31.8</v>
      </c>
      <c r="Y28" s="1">
        <v>32</v>
      </c>
      <c r="Z28" s="1">
        <v>31.8</v>
      </c>
      <c r="AA28" s="1"/>
    </row>
    <row r="29" spans="1:82" x14ac:dyDescent="0.2">
      <c r="A29" s="20" t="s">
        <v>50</v>
      </c>
      <c r="B29" s="1">
        <v>26.8</v>
      </c>
      <c r="C29" s="1">
        <v>26.8</v>
      </c>
      <c r="D29" s="1">
        <v>26.9</v>
      </c>
      <c r="E29" s="1">
        <v>26.8</v>
      </c>
      <c r="F29" s="1">
        <v>26.8</v>
      </c>
      <c r="G29" s="1">
        <v>26.9</v>
      </c>
      <c r="H29" s="1">
        <v>26.6</v>
      </c>
      <c r="I29" s="1">
        <v>26.7</v>
      </c>
      <c r="J29" s="1">
        <v>27.2</v>
      </c>
      <c r="K29" s="1">
        <v>27.8</v>
      </c>
      <c r="L29" s="1">
        <v>28.2</v>
      </c>
      <c r="M29" s="1">
        <v>28.7</v>
      </c>
      <c r="N29" s="1">
        <v>29.2</v>
      </c>
      <c r="O29" s="1">
        <v>29.7</v>
      </c>
      <c r="P29" s="1">
        <v>30.1</v>
      </c>
      <c r="Q29" s="1">
        <v>30.8</v>
      </c>
      <c r="R29" s="1">
        <v>31.3</v>
      </c>
      <c r="S29" s="1">
        <v>31.8</v>
      </c>
      <c r="T29" s="1">
        <v>31.9</v>
      </c>
      <c r="U29" s="1">
        <v>31.9</v>
      </c>
      <c r="V29" s="1">
        <v>31.8</v>
      </c>
      <c r="W29" s="1">
        <v>31.9</v>
      </c>
      <c r="X29" s="1">
        <v>31.9</v>
      </c>
      <c r="Y29" s="1">
        <v>32</v>
      </c>
      <c r="Z29" s="1">
        <v>31.9</v>
      </c>
      <c r="AA29" s="1"/>
    </row>
    <row r="30" spans="1:82" x14ac:dyDescent="0.2">
      <c r="A30" s="20" t="s">
        <v>51</v>
      </c>
      <c r="B30" s="4"/>
      <c r="C30" s="1">
        <v>27</v>
      </c>
      <c r="D30" s="1">
        <v>26.7</v>
      </c>
      <c r="E30" s="1">
        <v>27</v>
      </c>
      <c r="F30" s="1">
        <v>26.7</v>
      </c>
      <c r="G30" s="1">
        <v>26.8</v>
      </c>
      <c r="H30" s="1">
        <v>26.9</v>
      </c>
      <c r="I30" s="1">
        <v>26.7</v>
      </c>
      <c r="J30" s="1">
        <v>27.3</v>
      </c>
      <c r="K30" s="1">
        <v>27.9</v>
      </c>
      <c r="L30" s="1">
        <v>28.4</v>
      </c>
      <c r="M30" s="1">
        <v>28.7</v>
      </c>
      <c r="N30" s="1">
        <v>29.3</v>
      </c>
      <c r="O30" s="1">
        <v>29.8</v>
      </c>
      <c r="P30" s="1">
        <v>30.2</v>
      </c>
      <c r="Q30" s="1">
        <v>30.8</v>
      </c>
      <c r="R30" s="1">
        <v>31.5</v>
      </c>
      <c r="S30" s="1">
        <v>31.8</v>
      </c>
      <c r="T30" s="1">
        <v>31.9</v>
      </c>
      <c r="U30" s="1">
        <v>32</v>
      </c>
      <c r="V30" s="1">
        <v>31.8</v>
      </c>
      <c r="W30" s="1">
        <v>31.8</v>
      </c>
      <c r="X30" s="1">
        <v>31.9</v>
      </c>
      <c r="Y30" s="1">
        <v>32.1</v>
      </c>
      <c r="Z30" s="1">
        <v>31.8</v>
      </c>
      <c r="AA30" s="1"/>
    </row>
    <row r="31" spans="1:82" x14ac:dyDescent="0.2">
      <c r="A31" s="20" t="s">
        <v>52</v>
      </c>
      <c r="B31" s="1">
        <v>26.9</v>
      </c>
      <c r="C31" s="1">
        <v>26.8</v>
      </c>
      <c r="D31" s="1">
        <v>27</v>
      </c>
      <c r="E31" s="1">
        <v>26.9</v>
      </c>
      <c r="F31" s="1">
        <v>26.8</v>
      </c>
      <c r="G31" s="1">
        <v>27.2</v>
      </c>
      <c r="H31" s="1">
        <v>26.8</v>
      </c>
      <c r="I31" s="1">
        <v>27</v>
      </c>
      <c r="J31" s="1">
        <v>27.3</v>
      </c>
      <c r="K31" s="1">
        <v>27.8</v>
      </c>
      <c r="L31" s="1">
        <v>28.3</v>
      </c>
      <c r="M31" s="1">
        <v>28.9</v>
      </c>
      <c r="N31" s="1">
        <v>29.2</v>
      </c>
      <c r="O31" s="1">
        <v>30</v>
      </c>
      <c r="P31" s="1">
        <v>30.5</v>
      </c>
      <c r="Q31" s="1">
        <v>31</v>
      </c>
      <c r="R31" s="1">
        <v>31.5</v>
      </c>
      <c r="S31" s="1">
        <v>31.7</v>
      </c>
      <c r="T31" s="1">
        <v>31.8</v>
      </c>
      <c r="U31" s="1">
        <v>31.9</v>
      </c>
      <c r="V31" s="1">
        <v>31.9</v>
      </c>
      <c r="W31" s="1">
        <v>31.9</v>
      </c>
      <c r="X31" s="1">
        <v>32</v>
      </c>
      <c r="Y31" s="1">
        <v>31.9</v>
      </c>
      <c r="Z31" s="1">
        <v>32</v>
      </c>
      <c r="AA31" s="1"/>
    </row>
    <row r="32" spans="1:82" x14ac:dyDescent="0.2">
      <c r="A32" s="20" t="s">
        <v>53</v>
      </c>
      <c r="B32" s="4"/>
      <c r="C32" s="1">
        <v>26.7</v>
      </c>
      <c r="D32" s="1">
        <v>26.8</v>
      </c>
      <c r="E32" s="1">
        <v>26.8</v>
      </c>
      <c r="F32" s="1">
        <v>26.7</v>
      </c>
      <c r="G32" s="1">
        <v>26.8</v>
      </c>
      <c r="H32" s="1">
        <v>26.7</v>
      </c>
      <c r="I32" s="1">
        <v>26.8</v>
      </c>
      <c r="J32" s="1">
        <v>27.3</v>
      </c>
      <c r="K32" s="1">
        <v>27.9</v>
      </c>
      <c r="L32" s="1">
        <v>28.3</v>
      </c>
      <c r="M32" s="1">
        <v>28.9</v>
      </c>
      <c r="N32" s="1">
        <v>29.2</v>
      </c>
      <c r="O32" s="1">
        <v>29.8</v>
      </c>
      <c r="P32" s="1">
        <v>30.3</v>
      </c>
      <c r="Q32" s="1">
        <v>30.8</v>
      </c>
      <c r="R32" s="1">
        <v>31.3</v>
      </c>
      <c r="S32" s="1">
        <v>31.7</v>
      </c>
      <c r="T32" s="1">
        <v>31.7</v>
      </c>
      <c r="U32" s="1">
        <v>31.8</v>
      </c>
      <c r="V32" s="1">
        <v>31.8</v>
      </c>
      <c r="W32" s="1">
        <v>31.8</v>
      </c>
      <c r="X32" s="1">
        <v>31.8</v>
      </c>
      <c r="Y32" s="1">
        <v>31.8</v>
      </c>
      <c r="Z32" s="1">
        <v>31.8</v>
      </c>
      <c r="AA32" s="1"/>
    </row>
    <row r="33" spans="1:27" x14ac:dyDescent="0.2">
      <c r="A33" s="20" t="s">
        <v>54</v>
      </c>
      <c r="B33" s="1">
        <v>27.2</v>
      </c>
      <c r="C33" s="1">
        <v>27</v>
      </c>
      <c r="D33" s="1">
        <v>26.8</v>
      </c>
      <c r="E33" s="1">
        <v>27.2</v>
      </c>
      <c r="F33" s="1">
        <v>26.9</v>
      </c>
      <c r="G33" s="1">
        <v>26.9</v>
      </c>
      <c r="H33" s="1">
        <v>26.7</v>
      </c>
      <c r="I33" s="1">
        <v>26.9</v>
      </c>
      <c r="J33" s="1">
        <v>27.1</v>
      </c>
      <c r="K33" s="1">
        <v>27.8</v>
      </c>
      <c r="L33" s="1">
        <v>28.6</v>
      </c>
      <c r="M33" s="1">
        <v>29.1</v>
      </c>
      <c r="N33" s="1">
        <v>29.6</v>
      </c>
      <c r="O33" s="1">
        <v>30</v>
      </c>
      <c r="P33" s="1">
        <v>30.1</v>
      </c>
      <c r="Q33" s="1">
        <v>30.9</v>
      </c>
      <c r="R33" s="1">
        <v>31.3</v>
      </c>
      <c r="S33" s="1">
        <v>31.7</v>
      </c>
      <c r="T33" s="1">
        <v>31.8</v>
      </c>
      <c r="U33" s="1">
        <v>32</v>
      </c>
      <c r="V33" s="1">
        <v>31.9</v>
      </c>
      <c r="W33" s="1">
        <v>31.9</v>
      </c>
      <c r="X33" s="1">
        <v>31.7</v>
      </c>
      <c r="Y33" s="1">
        <v>31.9</v>
      </c>
      <c r="Z33" s="1">
        <v>31.8</v>
      </c>
      <c r="AA33" s="1"/>
    </row>
    <row r="34" spans="1:27" x14ac:dyDescent="0.2">
      <c r="A34" s="20" t="s">
        <v>55</v>
      </c>
      <c r="B34" s="4"/>
      <c r="C34" s="1">
        <v>26.6</v>
      </c>
      <c r="D34" s="1">
        <v>26.6</v>
      </c>
      <c r="E34" s="1">
        <v>26.8</v>
      </c>
      <c r="F34" s="1">
        <v>26.6</v>
      </c>
      <c r="G34" s="1">
        <v>26.8</v>
      </c>
      <c r="H34" s="1">
        <v>26.7</v>
      </c>
      <c r="I34" s="1">
        <v>26.7</v>
      </c>
      <c r="J34" s="1">
        <v>27.2</v>
      </c>
      <c r="K34" s="1">
        <v>27.7</v>
      </c>
      <c r="L34" s="1">
        <v>28.2</v>
      </c>
      <c r="M34" s="1">
        <v>28.7</v>
      </c>
      <c r="N34" s="1">
        <v>29.3</v>
      </c>
      <c r="O34" s="1">
        <v>29.8</v>
      </c>
      <c r="P34" s="1">
        <v>30.2</v>
      </c>
      <c r="Q34" s="1">
        <v>30.8</v>
      </c>
      <c r="R34" s="1">
        <v>31.3</v>
      </c>
      <c r="S34" s="1">
        <v>31.6</v>
      </c>
      <c r="T34" s="1">
        <v>31.8</v>
      </c>
      <c r="U34" s="1">
        <v>31.8</v>
      </c>
      <c r="V34" s="1">
        <v>31.8</v>
      </c>
      <c r="W34" s="1">
        <v>31.9</v>
      </c>
      <c r="X34" s="1">
        <v>31.8</v>
      </c>
      <c r="Y34" s="1">
        <v>31.9</v>
      </c>
      <c r="Z34" s="1">
        <v>31.9</v>
      </c>
      <c r="AA34" s="1"/>
    </row>
    <row r="35" spans="1:27" x14ac:dyDescent="0.2">
      <c r="A35" s="34"/>
      <c r="G35" s="4"/>
      <c r="I35" s="4"/>
      <c r="J35" s="4"/>
      <c r="L35" s="4"/>
      <c r="O35" s="4"/>
      <c r="P35" s="4"/>
    </row>
    <row r="36" spans="1:27" x14ac:dyDescent="0.2">
      <c r="A36" s="34"/>
      <c r="J36" s="4"/>
    </row>
    <row r="37" spans="1:27" x14ac:dyDescent="0.2">
      <c r="A37" s="20" t="s">
        <v>89</v>
      </c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7" x14ac:dyDescent="0.2">
      <c r="A38" s="20" t="s">
        <v>88</v>
      </c>
      <c r="B38" s="35">
        <v>45477</v>
      </c>
      <c r="C38" s="35">
        <v>45478</v>
      </c>
      <c r="D38" s="35">
        <v>45479</v>
      </c>
      <c r="E38" s="35">
        <v>45480</v>
      </c>
      <c r="F38" s="35">
        <v>45481</v>
      </c>
      <c r="G38" s="35">
        <v>45482</v>
      </c>
      <c r="H38" s="35">
        <v>45483</v>
      </c>
      <c r="I38" s="35">
        <v>45484</v>
      </c>
      <c r="J38" s="35">
        <v>45485</v>
      </c>
      <c r="K38" s="35">
        <v>45486</v>
      </c>
      <c r="L38" s="35">
        <v>45487</v>
      </c>
      <c r="M38" s="35">
        <v>45488</v>
      </c>
      <c r="N38" s="35">
        <v>45489</v>
      </c>
      <c r="O38" s="35">
        <v>45490</v>
      </c>
      <c r="P38" s="35">
        <v>45491</v>
      </c>
      <c r="Q38" s="35">
        <v>45492</v>
      </c>
      <c r="R38" s="35">
        <v>45493</v>
      </c>
      <c r="S38" s="35">
        <v>45494</v>
      </c>
      <c r="T38" s="35">
        <v>45495</v>
      </c>
      <c r="U38" s="35">
        <v>45496</v>
      </c>
      <c r="V38" s="35">
        <v>45497</v>
      </c>
      <c r="W38" s="35">
        <v>45498</v>
      </c>
      <c r="X38" s="35">
        <v>45499</v>
      </c>
      <c r="Y38" s="35">
        <v>45500</v>
      </c>
      <c r="Z38" s="35">
        <v>45501</v>
      </c>
    </row>
    <row r="39" spans="1:27" x14ac:dyDescent="0.2">
      <c r="A39" s="20" t="s">
        <v>42</v>
      </c>
      <c r="B39" s="1">
        <v>35.6</v>
      </c>
      <c r="C39" s="1">
        <v>35.6</v>
      </c>
      <c r="D39" s="1">
        <v>35.5</v>
      </c>
      <c r="E39" s="4">
        <v>35.6</v>
      </c>
      <c r="F39" s="1">
        <v>35.6</v>
      </c>
      <c r="G39" s="1">
        <v>35.6</v>
      </c>
      <c r="H39" s="1">
        <v>35.700000000000003</v>
      </c>
      <c r="I39" s="1">
        <v>35.799999999999997</v>
      </c>
      <c r="J39" s="1">
        <v>35.6</v>
      </c>
      <c r="K39" s="1">
        <v>35.6</v>
      </c>
      <c r="L39" s="1">
        <v>35.6</v>
      </c>
      <c r="M39" s="1">
        <v>35.6</v>
      </c>
      <c r="N39" s="1">
        <v>35.6</v>
      </c>
      <c r="O39" s="1">
        <v>35.6</v>
      </c>
      <c r="P39" s="1">
        <v>36.1</v>
      </c>
      <c r="Q39" s="1">
        <v>36.299999999999997</v>
      </c>
      <c r="R39" s="1">
        <v>36.1</v>
      </c>
      <c r="S39" s="1">
        <v>36.1</v>
      </c>
      <c r="T39" s="1">
        <v>35.799999999999997</v>
      </c>
      <c r="U39" s="1">
        <v>35.299999999999997</v>
      </c>
      <c r="V39" s="1">
        <v>35.200000000000003</v>
      </c>
      <c r="W39" s="1">
        <v>35.299999999999997</v>
      </c>
      <c r="X39" s="1">
        <v>35.200000000000003</v>
      </c>
      <c r="Y39" s="1">
        <v>35.799999999999997</v>
      </c>
      <c r="Z39" s="1">
        <v>35.9</v>
      </c>
    </row>
    <row r="40" spans="1:27" x14ac:dyDescent="0.2">
      <c r="A40" s="20" t="s">
        <v>43</v>
      </c>
      <c r="B40" s="1">
        <v>35.6</v>
      </c>
      <c r="C40" s="1">
        <v>35.799999999999997</v>
      </c>
      <c r="D40" s="1">
        <v>35.6</v>
      </c>
      <c r="E40" s="4">
        <v>35.700000000000003</v>
      </c>
      <c r="F40" s="1">
        <v>35.6</v>
      </c>
      <c r="G40" s="1">
        <v>35.5</v>
      </c>
      <c r="H40" s="1">
        <v>35.4</v>
      </c>
      <c r="I40" s="1">
        <v>35.5</v>
      </c>
      <c r="J40" s="1">
        <v>35.5</v>
      </c>
      <c r="K40" s="1">
        <v>35.6</v>
      </c>
      <c r="L40" s="1">
        <v>35.6</v>
      </c>
      <c r="M40" s="1">
        <v>35.6</v>
      </c>
      <c r="N40" s="1">
        <v>35.5</v>
      </c>
      <c r="O40" s="1">
        <v>35.6</v>
      </c>
      <c r="P40" s="1">
        <v>36.1</v>
      </c>
      <c r="Q40" s="1">
        <v>36.200000000000003</v>
      </c>
      <c r="R40" s="1">
        <v>36.1</v>
      </c>
      <c r="S40" s="1">
        <v>36.1</v>
      </c>
      <c r="T40" s="1">
        <v>35.9</v>
      </c>
      <c r="U40" s="1">
        <v>35.299999999999997</v>
      </c>
      <c r="V40" s="1">
        <v>35.200000000000003</v>
      </c>
      <c r="W40" s="1">
        <v>35.299999999999997</v>
      </c>
      <c r="X40" s="1">
        <v>35.200000000000003</v>
      </c>
      <c r="Y40" s="1">
        <v>35.9</v>
      </c>
      <c r="Z40" s="1">
        <v>35.9</v>
      </c>
    </row>
    <row r="41" spans="1:27" x14ac:dyDescent="0.2">
      <c r="A41" s="20" t="s">
        <v>44</v>
      </c>
      <c r="B41" s="1">
        <v>35.5</v>
      </c>
      <c r="C41" s="1">
        <v>35.5</v>
      </c>
      <c r="D41" s="1">
        <v>35.6</v>
      </c>
      <c r="E41" s="1">
        <v>35.700000000000003</v>
      </c>
      <c r="F41" s="1">
        <v>35.6</v>
      </c>
      <c r="G41" s="1">
        <v>35.6</v>
      </c>
      <c r="H41" s="1">
        <v>35.4</v>
      </c>
      <c r="I41" s="1">
        <v>35.5</v>
      </c>
      <c r="J41" s="1">
        <v>35.5</v>
      </c>
      <c r="K41" s="1">
        <v>35.6</v>
      </c>
      <c r="L41" s="1">
        <v>35.6</v>
      </c>
      <c r="M41" s="1">
        <v>35.700000000000003</v>
      </c>
      <c r="N41" s="1">
        <v>35.700000000000003</v>
      </c>
      <c r="O41" s="1">
        <v>35.799999999999997</v>
      </c>
      <c r="P41" s="1">
        <v>36.299999999999997</v>
      </c>
      <c r="Q41" s="1">
        <v>36.4</v>
      </c>
      <c r="R41" s="1">
        <v>36.299999999999997</v>
      </c>
      <c r="S41" s="1">
        <v>36.4</v>
      </c>
      <c r="T41" s="1">
        <v>36.200000000000003</v>
      </c>
      <c r="U41" s="1">
        <v>35.799999999999997</v>
      </c>
      <c r="V41" s="1">
        <v>35.700000000000003</v>
      </c>
      <c r="W41" s="1">
        <v>35.9</v>
      </c>
      <c r="X41" s="1">
        <v>35.299999999999997</v>
      </c>
      <c r="Y41" s="1">
        <v>36.4</v>
      </c>
      <c r="Z41" s="1">
        <v>36.5</v>
      </c>
    </row>
    <row r="42" spans="1:27" x14ac:dyDescent="0.2">
      <c r="A42" s="20" t="s">
        <v>45</v>
      </c>
      <c r="B42" s="4"/>
      <c r="C42" s="1">
        <v>35.6</v>
      </c>
      <c r="D42" s="1">
        <v>35.799999999999997</v>
      </c>
      <c r="E42" s="1">
        <v>35.799999999999997</v>
      </c>
      <c r="F42" s="1">
        <v>35.700000000000003</v>
      </c>
      <c r="G42" s="1">
        <v>35.6</v>
      </c>
      <c r="H42" s="1">
        <v>35.5</v>
      </c>
      <c r="I42" s="1">
        <v>35.5</v>
      </c>
      <c r="J42" s="1">
        <v>35.6</v>
      </c>
      <c r="K42" s="1">
        <v>35.6</v>
      </c>
      <c r="L42" s="1">
        <v>35.6</v>
      </c>
      <c r="M42" s="1">
        <v>35.700000000000003</v>
      </c>
      <c r="N42" s="1">
        <v>35.6</v>
      </c>
      <c r="O42" s="1">
        <v>35.700000000000003</v>
      </c>
      <c r="P42" s="1">
        <v>36.299999999999997</v>
      </c>
      <c r="Q42" s="1">
        <v>36.299999999999997</v>
      </c>
      <c r="R42" s="1">
        <v>36.299999999999997</v>
      </c>
      <c r="S42" s="1">
        <v>36.299999999999997</v>
      </c>
      <c r="T42" s="1">
        <v>36</v>
      </c>
      <c r="U42" s="1">
        <v>35.5</v>
      </c>
      <c r="V42" s="1">
        <v>35.5</v>
      </c>
      <c r="W42" s="1">
        <v>35.6</v>
      </c>
      <c r="X42" s="1">
        <v>35.6</v>
      </c>
      <c r="Y42" s="1">
        <v>36.200000000000003</v>
      </c>
      <c r="Z42" s="1">
        <v>36.299999999999997</v>
      </c>
    </row>
    <row r="43" spans="1:27" x14ac:dyDescent="0.2">
      <c r="A43" s="20" t="s">
        <v>46</v>
      </c>
      <c r="B43" s="1">
        <v>35.6</v>
      </c>
      <c r="C43" s="1">
        <v>35.6</v>
      </c>
      <c r="D43" s="1">
        <v>35.6</v>
      </c>
      <c r="E43" s="1">
        <v>35.700000000000003</v>
      </c>
      <c r="F43" s="1">
        <v>35.700000000000003</v>
      </c>
      <c r="G43" s="1">
        <v>35.6</v>
      </c>
      <c r="H43" s="1">
        <v>35.5</v>
      </c>
      <c r="I43" s="1">
        <v>35.5</v>
      </c>
      <c r="J43" s="1">
        <v>35.4</v>
      </c>
      <c r="K43" s="1">
        <v>35.5</v>
      </c>
      <c r="L43" s="1">
        <v>35.4</v>
      </c>
      <c r="M43" s="1">
        <v>35.5</v>
      </c>
      <c r="N43" s="1">
        <v>35.5</v>
      </c>
      <c r="O43" s="1">
        <v>35.6</v>
      </c>
      <c r="P43" s="1">
        <v>35.9</v>
      </c>
      <c r="Q43" s="1">
        <v>36</v>
      </c>
      <c r="R43" s="1">
        <v>36</v>
      </c>
      <c r="S43" s="1">
        <v>36</v>
      </c>
      <c r="T43" s="1">
        <v>35.6</v>
      </c>
      <c r="U43" s="1">
        <v>35.1</v>
      </c>
      <c r="V43" s="1">
        <v>35.1</v>
      </c>
      <c r="W43" s="1">
        <v>35.200000000000003</v>
      </c>
      <c r="X43" s="1">
        <v>35.299999999999997</v>
      </c>
      <c r="Y43" s="1">
        <v>35.6</v>
      </c>
      <c r="Z43" s="1">
        <v>35.799999999999997</v>
      </c>
    </row>
    <row r="44" spans="1:27" x14ac:dyDescent="0.2">
      <c r="A44" s="20" t="s">
        <v>47</v>
      </c>
      <c r="B44" s="4"/>
      <c r="C44" s="1">
        <v>35.700000000000003</v>
      </c>
      <c r="D44" s="1">
        <v>35.700000000000003</v>
      </c>
      <c r="E44" s="1">
        <v>35.799999999999997</v>
      </c>
      <c r="F44" s="1">
        <v>35.799999999999997</v>
      </c>
      <c r="G44" s="1">
        <v>35.6</v>
      </c>
      <c r="H44" s="1">
        <v>35.6</v>
      </c>
      <c r="I44" s="1">
        <v>35.5</v>
      </c>
      <c r="J44" s="1">
        <v>35.5</v>
      </c>
      <c r="K44" s="1">
        <v>35.5</v>
      </c>
      <c r="L44" s="1">
        <v>35.5</v>
      </c>
      <c r="M44" s="1">
        <v>35.5</v>
      </c>
      <c r="N44" s="1">
        <v>35.5</v>
      </c>
      <c r="O44" s="1">
        <v>35.6</v>
      </c>
      <c r="P44" s="1">
        <v>36</v>
      </c>
      <c r="Q44" s="1">
        <v>36</v>
      </c>
      <c r="R44" s="1">
        <v>36</v>
      </c>
      <c r="S44" s="1">
        <v>36</v>
      </c>
      <c r="T44" s="1">
        <v>35.700000000000003</v>
      </c>
      <c r="U44" s="1">
        <v>35.1</v>
      </c>
      <c r="V44" s="1">
        <v>35.1</v>
      </c>
      <c r="W44" s="1">
        <v>35.200000000000003</v>
      </c>
      <c r="X44" s="1">
        <v>35.200000000000003</v>
      </c>
      <c r="Y44" s="1">
        <v>35.799999999999997</v>
      </c>
      <c r="Z44" s="1">
        <v>35.799999999999997</v>
      </c>
    </row>
    <row r="45" spans="1:27" x14ac:dyDescent="0.2">
      <c r="A45" s="20" t="s">
        <v>48</v>
      </c>
      <c r="B45" s="1">
        <v>35.6</v>
      </c>
      <c r="C45" s="1">
        <v>35.6</v>
      </c>
      <c r="D45" s="1">
        <v>35.4</v>
      </c>
      <c r="E45" s="1">
        <v>35.6</v>
      </c>
      <c r="F45" s="1">
        <v>35.700000000000003</v>
      </c>
      <c r="G45" s="1">
        <v>35.5</v>
      </c>
      <c r="H45" s="1">
        <v>35.5</v>
      </c>
      <c r="I45" s="1">
        <v>35.5</v>
      </c>
      <c r="J45" s="1">
        <v>35.5</v>
      </c>
      <c r="K45" s="1">
        <v>35.6</v>
      </c>
      <c r="L45" s="1">
        <v>35.6</v>
      </c>
      <c r="M45" s="1">
        <v>35.6</v>
      </c>
      <c r="N45" s="1">
        <v>35.700000000000003</v>
      </c>
      <c r="O45" s="1">
        <v>35.799999999999997</v>
      </c>
      <c r="P45" s="1">
        <v>36.299999999999997</v>
      </c>
      <c r="Q45" s="1">
        <v>36.299999999999997</v>
      </c>
      <c r="R45" s="1">
        <v>36.299999999999997</v>
      </c>
      <c r="S45" s="1">
        <v>36.4</v>
      </c>
      <c r="T45" s="1">
        <v>36.1</v>
      </c>
      <c r="U45" s="1">
        <v>35.6</v>
      </c>
      <c r="V45" s="1">
        <v>35.6</v>
      </c>
      <c r="W45" s="1">
        <v>35.700000000000003</v>
      </c>
      <c r="X45" s="1">
        <v>35.700000000000003</v>
      </c>
      <c r="Y45" s="1">
        <v>36.200000000000003</v>
      </c>
      <c r="Z45" s="1">
        <v>36.299999999999997</v>
      </c>
    </row>
    <row r="46" spans="1:27" x14ac:dyDescent="0.2">
      <c r="A46" s="20" t="s">
        <v>49</v>
      </c>
      <c r="B46" s="4"/>
      <c r="C46" s="1">
        <v>35.6</v>
      </c>
      <c r="D46" s="1">
        <v>35.5</v>
      </c>
      <c r="E46" s="1">
        <v>35.5</v>
      </c>
      <c r="F46" s="1">
        <v>35.700000000000003</v>
      </c>
      <c r="G46" s="1">
        <v>35.6</v>
      </c>
      <c r="H46" s="1">
        <v>35.6</v>
      </c>
      <c r="I46" s="1">
        <v>35.6</v>
      </c>
      <c r="J46" s="1">
        <v>35.5</v>
      </c>
      <c r="K46" s="1">
        <v>35.6</v>
      </c>
      <c r="L46" s="1">
        <v>35.6</v>
      </c>
      <c r="M46" s="1">
        <v>35.6</v>
      </c>
      <c r="N46" s="1">
        <v>35.700000000000003</v>
      </c>
      <c r="O46" s="1">
        <v>35.799999999999997</v>
      </c>
      <c r="P46" s="1">
        <v>36.200000000000003</v>
      </c>
      <c r="Q46" s="1">
        <v>36.299999999999997</v>
      </c>
      <c r="R46" s="1">
        <v>36.4</v>
      </c>
      <c r="S46" s="1">
        <v>36.4</v>
      </c>
      <c r="T46" s="1">
        <v>36.1</v>
      </c>
      <c r="U46" s="1">
        <v>35.6</v>
      </c>
      <c r="V46" s="1">
        <v>35.5</v>
      </c>
      <c r="W46" s="1">
        <v>35.700000000000003</v>
      </c>
      <c r="X46" s="1">
        <v>35.700000000000003</v>
      </c>
      <c r="Y46" s="1">
        <v>36.200000000000003</v>
      </c>
      <c r="Z46" s="1">
        <v>36.200000000000003</v>
      </c>
    </row>
    <row r="47" spans="1:27" x14ac:dyDescent="0.2">
      <c r="A47" s="20" t="s">
        <v>50</v>
      </c>
      <c r="B47" s="1">
        <v>35.6</v>
      </c>
      <c r="C47" s="1">
        <v>35.6</v>
      </c>
      <c r="D47" s="1">
        <v>35.700000000000003</v>
      </c>
      <c r="E47" s="1">
        <v>35.700000000000003</v>
      </c>
      <c r="F47" s="1">
        <v>35.6</v>
      </c>
      <c r="G47" s="1">
        <v>35.5</v>
      </c>
      <c r="H47" s="1">
        <v>35.4</v>
      </c>
      <c r="I47" s="1">
        <v>35.4</v>
      </c>
      <c r="J47" s="1">
        <v>35.5</v>
      </c>
      <c r="K47" s="1">
        <v>35.5</v>
      </c>
      <c r="L47" s="1">
        <v>35.5</v>
      </c>
      <c r="M47" s="1">
        <v>35.6</v>
      </c>
      <c r="N47" s="1">
        <v>35.700000000000003</v>
      </c>
      <c r="O47" s="1">
        <v>35.799999999999997</v>
      </c>
      <c r="P47" s="1">
        <v>36.200000000000003</v>
      </c>
      <c r="Q47" s="1">
        <v>36.299999999999997</v>
      </c>
      <c r="R47" s="1">
        <v>36.299999999999997</v>
      </c>
      <c r="S47" s="1">
        <v>36.299999999999997</v>
      </c>
      <c r="T47" s="1">
        <v>36</v>
      </c>
      <c r="U47" s="1">
        <v>35.5</v>
      </c>
      <c r="V47" s="1">
        <v>35.5</v>
      </c>
      <c r="W47" s="1">
        <v>35.6</v>
      </c>
      <c r="X47" s="1">
        <v>35.5</v>
      </c>
      <c r="Y47" s="1">
        <v>36.200000000000003</v>
      </c>
      <c r="Z47" s="1">
        <v>36.200000000000003</v>
      </c>
    </row>
    <row r="48" spans="1:27" x14ac:dyDescent="0.2">
      <c r="A48" s="20" t="s">
        <v>51</v>
      </c>
      <c r="B48" s="4"/>
      <c r="C48" s="1">
        <v>35.6</v>
      </c>
      <c r="D48" s="1">
        <v>35.6</v>
      </c>
      <c r="E48" s="1">
        <v>35.700000000000003</v>
      </c>
      <c r="F48" s="1">
        <v>35.700000000000003</v>
      </c>
      <c r="G48" s="1">
        <v>35.6</v>
      </c>
      <c r="H48" s="1">
        <v>35.5</v>
      </c>
      <c r="I48" s="1">
        <v>35.5</v>
      </c>
      <c r="J48" s="1">
        <v>35.5</v>
      </c>
      <c r="K48" s="1">
        <v>35.6</v>
      </c>
      <c r="L48" s="1">
        <v>35.6</v>
      </c>
      <c r="M48" s="1">
        <v>35.700000000000003</v>
      </c>
      <c r="N48" s="1">
        <v>35.700000000000003</v>
      </c>
      <c r="O48" s="1">
        <v>36</v>
      </c>
      <c r="P48" s="1">
        <v>36.299999999999997</v>
      </c>
      <c r="Q48" s="1">
        <v>36.5</v>
      </c>
      <c r="R48" s="1">
        <v>36.6</v>
      </c>
      <c r="S48" s="1">
        <v>36.6</v>
      </c>
      <c r="T48" s="1">
        <v>36.5</v>
      </c>
      <c r="U48" s="1">
        <v>36</v>
      </c>
      <c r="V48" s="1">
        <v>35.799999999999997</v>
      </c>
      <c r="W48" s="1">
        <v>35.700000000000003</v>
      </c>
      <c r="X48" s="1">
        <v>35.6</v>
      </c>
      <c r="Y48" s="1">
        <v>36.200000000000003</v>
      </c>
      <c r="Z48" s="1">
        <v>36.299999999999997</v>
      </c>
    </row>
    <row r="49" spans="1:26" x14ac:dyDescent="0.2">
      <c r="A49" s="20" t="s">
        <v>52</v>
      </c>
      <c r="B49" s="1">
        <v>35.6</v>
      </c>
      <c r="C49" s="1">
        <v>35.6</v>
      </c>
      <c r="D49" s="1">
        <v>35.6</v>
      </c>
      <c r="E49" s="1">
        <v>35.700000000000003</v>
      </c>
      <c r="F49" s="1">
        <v>35.6</v>
      </c>
      <c r="G49" s="1">
        <v>35.6</v>
      </c>
      <c r="H49" s="1">
        <v>35.5</v>
      </c>
      <c r="I49" s="1">
        <v>35.5</v>
      </c>
      <c r="J49" s="1">
        <v>35.5</v>
      </c>
      <c r="K49" s="1">
        <v>35.6</v>
      </c>
      <c r="L49" s="1">
        <v>35.6</v>
      </c>
      <c r="M49" s="1">
        <v>35.6</v>
      </c>
      <c r="N49" s="1">
        <v>35.700000000000003</v>
      </c>
      <c r="O49" s="1">
        <v>35.799999999999997</v>
      </c>
      <c r="P49" s="1">
        <v>36.299999999999997</v>
      </c>
      <c r="Q49" s="1">
        <v>36.4</v>
      </c>
      <c r="R49" s="1">
        <v>36.299999999999997</v>
      </c>
      <c r="S49" s="1">
        <v>36.4</v>
      </c>
      <c r="T49" s="1">
        <v>36</v>
      </c>
      <c r="U49" s="1">
        <v>35.5</v>
      </c>
      <c r="V49" s="1">
        <v>35.5</v>
      </c>
      <c r="W49" s="1">
        <v>35.700000000000003</v>
      </c>
      <c r="X49" s="1">
        <v>35.700000000000003</v>
      </c>
      <c r="Y49" s="1">
        <v>36.299999999999997</v>
      </c>
      <c r="Z49" s="1">
        <v>36.200000000000003</v>
      </c>
    </row>
    <row r="50" spans="1:26" x14ac:dyDescent="0.2">
      <c r="A50" s="20" t="s">
        <v>53</v>
      </c>
      <c r="B50" s="4"/>
      <c r="C50" s="1">
        <v>35.6</v>
      </c>
      <c r="D50" s="1">
        <v>35.700000000000003</v>
      </c>
      <c r="E50" s="1">
        <v>35.700000000000003</v>
      </c>
      <c r="F50" s="1">
        <v>35.6</v>
      </c>
      <c r="G50" s="1">
        <v>35.799999999999997</v>
      </c>
      <c r="H50" s="1">
        <v>35.6</v>
      </c>
      <c r="I50" s="1">
        <v>35.5</v>
      </c>
      <c r="J50" s="1">
        <v>35.6</v>
      </c>
      <c r="K50" s="1">
        <v>35.6</v>
      </c>
      <c r="L50" s="1">
        <v>35.6</v>
      </c>
      <c r="M50" s="1">
        <v>35.700000000000003</v>
      </c>
      <c r="N50" s="1">
        <v>35.700000000000003</v>
      </c>
      <c r="O50" s="1">
        <v>35.700000000000003</v>
      </c>
      <c r="P50" s="1">
        <v>36.299999999999997</v>
      </c>
      <c r="Q50" s="1">
        <v>36.299999999999997</v>
      </c>
      <c r="R50" s="1">
        <v>36.4</v>
      </c>
      <c r="S50" s="1">
        <v>36.4</v>
      </c>
      <c r="T50" s="1">
        <v>36.200000000000003</v>
      </c>
      <c r="U50" s="1">
        <v>35.700000000000003</v>
      </c>
      <c r="V50" s="1">
        <v>35.6</v>
      </c>
      <c r="W50" s="1">
        <v>35.6</v>
      </c>
      <c r="X50" s="1">
        <v>35.700000000000003</v>
      </c>
      <c r="Y50" s="1">
        <v>36.1</v>
      </c>
      <c r="Z50" s="1">
        <v>36.299999999999997</v>
      </c>
    </row>
    <row r="51" spans="1:26" x14ac:dyDescent="0.2">
      <c r="A51" s="20" t="s">
        <v>54</v>
      </c>
      <c r="B51" s="1">
        <v>35.700000000000003</v>
      </c>
      <c r="C51" s="1">
        <v>35.6</v>
      </c>
      <c r="D51" s="1">
        <v>35.700000000000003</v>
      </c>
      <c r="E51" s="1">
        <v>35.799999999999997</v>
      </c>
      <c r="F51" s="1">
        <v>35.700000000000003</v>
      </c>
      <c r="G51" s="1">
        <v>35.6</v>
      </c>
      <c r="H51" s="1">
        <v>35.799999999999997</v>
      </c>
      <c r="I51" s="1">
        <v>35.6</v>
      </c>
      <c r="J51" s="1">
        <v>35.6</v>
      </c>
      <c r="K51" s="1">
        <v>35.6</v>
      </c>
      <c r="L51" s="1">
        <v>35.6</v>
      </c>
      <c r="M51" s="1">
        <v>35.700000000000003</v>
      </c>
      <c r="N51" s="1">
        <v>35.700000000000003</v>
      </c>
      <c r="O51" s="1">
        <v>35.799999999999997</v>
      </c>
      <c r="P51" s="1">
        <v>36.299999999999997</v>
      </c>
      <c r="Q51" s="1">
        <v>36.299999999999997</v>
      </c>
      <c r="R51" s="1">
        <v>36.299999999999997</v>
      </c>
      <c r="S51" s="1">
        <v>36.299999999999997</v>
      </c>
      <c r="T51" s="1">
        <v>36</v>
      </c>
      <c r="U51" s="1">
        <v>35.6</v>
      </c>
      <c r="V51" s="1">
        <v>35.4</v>
      </c>
      <c r="W51" s="1">
        <v>35.6</v>
      </c>
      <c r="X51" s="1">
        <v>35.5</v>
      </c>
      <c r="Y51" s="1">
        <v>36.200000000000003</v>
      </c>
      <c r="Z51" s="1">
        <v>36.200000000000003</v>
      </c>
    </row>
    <row r="52" spans="1:26" x14ac:dyDescent="0.2">
      <c r="A52" s="20" t="s">
        <v>55</v>
      </c>
      <c r="B52" s="4"/>
      <c r="C52" s="1">
        <v>35.700000000000003</v>
      </c>
      <c r="D52" s="1">
        <v>35.700000000000003</v>
      </c>
      <c r="E52" s="1">
        <v>35.9</v>
      </c>
      <c r="F52" s="1">
        <v>35.799999999999997</v>
      </c>
      <c r="G52" s="1">
        <v>35.5</v>
      </c>
      <c r="H52" s="1">
        <v>35.5</v>
      </c>
      <c r="I52" s="1">
        <v>35.6</v>
      </c>
      <c r="J52" s="1">
        <v>35.5</v>
      </c>
      <c r="K52" s="1">
        <v>35.5</v>
      </c>
      <c r="L52" s="1">
        <v>35.6</v>
      </c>
      <c r="M52" s="1">
        <v>35.6</v>
      </c>
      <c r="N52" s="1">
        <v>35.700000000000003</v>
      </c>
      <c r="O52" s="1">
        <v>35.799999999999997</v>
      </c>
      <c r="P52" s="1">
        <v>36.200000000000003</v>
      </c>
      <c r="Q52" s="1">
        <v>36.299999999999997</v>
      </c>
      <c r="R52" s="1">
        <v>36.299999999999997</v>
      </c>
      <c r="S52" s="1">
        <v>36.4</v>
      </c>
      <c r="T52" s="1">
        <v>36.200000000000003</v>
      </c>
      <c r="U52" s="1">
        <v>35.700000000000003</v>
      </c>
      <c r="V52" s="1">
        <v>35.6</v>
      </c>
      <c r="W52" s="1">
        <v>35.700000000000003</v>
      </c>
      <c r="X52" s="1">
        <v>35.6</v>
      </c>
      <c r="Y52" s="1">
        <v>35.9</v>
      </c>
      <c r="Z52" s="1">
        <v>36.200000000000003</v>
      </c>
    </row>
    <row r="53" spans="1:26" x14ac:dyDescent="0.2">
      <c r="A53" s="34"/>
      <c r="I53" s="4"/>
      <c r="L53" s="4"/>
    </row>
    <row r="54" spans="1:26" x14ac:dyDescent="0.2">
      <c r="A54" s="20" t="s">
        <v>92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x14ac:dyDescent="0.2">
      <c r="A55" s="20" t="s">
        <v>88</v>
      </c>
      <c r="B55" s="35">
        <v>45477</v>
      </c>
      <c r="C55" s="35">
        <v>45478</v>
      </c>
      <c r="D55" s="35">
        <v>45479</v>
      </c>
      <c r="E55" s="35">
        <v>45480</v>
      </c>
      <c r="F55" s="35">
        <v>45481</v>
      </c>
      <c r="G55" s="35">
        <v>45482</v>
      </c>
      <c r="H55" s="35">
        <v>45483</v>
      </c>
      <c r="I55" s="35">
        <v>45484</v>
      </c>
      <c r="J55" s="35">
        <v>45485</v>
      </c>
      <c r="K55" s="35">
        <v>45486</v>
      </c>
      <c r="L55" s="35">
        <v>45487</v>
      </c>
      <c r="M55" s="35">
        <v>45488</v>
      </c>
      <c r="N55" s="35">
        <v>45489</v>
      </c>
      <c r="O55" s="35">
        <v>45490</v>
      </c>
      <c r="P55" s="35">
        <v>45491</v>
      </c>
      <c r="Q55" s="35">
        <v>45492</v>
      </c>
      <c r="R55" s="35">
        <v>45493</v>
      </c>
      <c r="S55" s="35">
        <v>45494</v>
      </c>
      <c r="T55" s="35">
        <v>45495</v>
      </c>
      <c r="U55" s="35">
        <v>45496</v>
      </c>
      <c r="V55" s="35">
        <v>45497</v>
      </c>
      <c r="W55" s="35">
        <v>45498</v>
      </c>
      <c r="X55" s="35">
        <v>45499</v>
      </c>
      <c r="Y55" s="35">
        <v>45500</v>
      </c>
      <c r="Z55" s="35">
        <v>45501</v>
      </c>
    </row>
    <row r="56" spans="1:26" x14ac:dyDescent="0.2">
      <c r="A56" s="20" t="s">
        <v>42</v>
      </c>
      <c r="B56" s="1">
        <v>8.1199999999999992</v>
      </c>
      <c r="C56" s="1">
        <v>8.1199999999999992</v>
      </c>
      <c r="D56" s="1">
        <v>8.1199999999999992</v>
      </c>
      <c r="E56" s="4">
        <v>8.15</v>
      </c>
      <c r="F56" s="1">
        <v>8.19</v>
      </c>
      <c r="G56" s="1">
        <v>8.1300000000000008</v>
      </c>
      <c r="H56" s="1">
        <v>8.1199999999999992</v>
      </c>
      <c r="I56" s="1">
        <v>8.11</v>
      </c>
      <c r="J56" s="1">
        <v>8.09</v>
      </c>
      <c r="K56" s="1">
        <v>8.14</v>
      </c>
      <c r="L56" s="1">
        <v>8.1199999999999992</v>
      </c>
      <c r="M56" s="1">
        <v>8.1</v>
      </c>
      <c r="N56" s="1">
        <v>8.14</v>
      </c>
      <c r="O56" s="1">
        <v>8.11</v>
      </c>
      <c r="P56" s="1">
        <v>8.17</v>
      </c>
      <c r="Q56" s="1">
        <v>8.11</v>
      </c>
      <c r="R56" s="1">
        <v>8.1</v>
      </c>
      <c r="S56" s="1">
        <v>8.1</v>
      </c>
      <c r="T56" s="1">
        <v>8.07</v>
      </c>
      <c r="U56" s="1">
        <v>8.09</v>
      </c>
      <c r="V56" s="1">
        <v>8.1</v>
      </c>
      <c r="W56" s="1">
        <v>8.1300000000000008</v>
      </c>
      <c r="X56" s="1">
        <v>8.15</v>
      </c>
      <c r="Y56" s="1">
        <v>8.06</v>
      </c>
      <c r="Z56" s="1">
        <v>8.09</v>
      </c>
    </row>
    <row r="57" spans="1:26" x14ac:dyDescent="0.2">
      <c r="A57" s="20" t="s">
        <v>43</v>
      </c>
      <c r="B57" s="1">
        <v>8.11</v>
      </c>
      <c r="C57" s="1">
        <v>8.1199999999999992</v>
      </c>
      <c r="D57" s="1">
        <v>8.1</v>
      </c>
      <c r="E57" s="4">
        <v>8.16</v>
      </c>
      <c r="F57" s="1">
        <v>8.19</v>
      </c>
      <c r="G57" s="1">
        <v>8.14</v>
      </c>
      <c r="H57" s="1">
        <v>8.15</v>
      </c>
      <c r="I57" s="1">
        <v>8.1199999999999992</v>
      </c>
      <c r="J57" s="1">
        <v>8.11</v>
      </c>
      <c r="K57" s="1">
        <v>8.14</v>
      </c>
      <c r="L57" s="1">
        <v>8.1300000000000008</v>
      </c>
      <c r="M57" s="1">
        <v>8.1199999999999992</v>
      </c>
      <c r="N57" s="1">
        <v>8.16</v>
      </c>
      <c r="O57" s="1">
        <v>8.15</v>
      </c>
      <c r="P57" s="1">
        <v>8.18</v>
      </c>
      <c r="Q57" s="1">
        <v>8.1300000000000008</v>
      </c>
      <c r="R57" s="1">
        <v>8.1199999999999992</v>
      </c>
      <c r="S57" s="1">
        <v>8.1</v>
      </c>
      <c r="T57" s="1">
        <v>8.08</v>
      </c>
      <c r="U57" s="1">
        <v>8.09</v>
      </c>
      <c r="V57" s="1">
        <v>8.11</v>
      </c>
      <c r="W57" s="1">
        <v>8.1199999999999992</v>
      </c>
      <c r="X57" s="1">
        <v>8.14</v>
      </c>
      <c r="Y57" s="1">
        <v>8.08</v>
      </c>
      <c r="Z57" s="1">
        <v>8.1</v>
      </c>
    </row>
    <row r="58" spans="1:26" x14ac:dyDescent="0.2">
      <c r="A58" s="20" t="s">
        <v>44</v>
      </c>
      <c r="B58" s="1">
        <v>8.1300000000000008</v>
      </c>
      <c r="C58" s="1">
        <v>8.1300000000000008</v>
      </c>
      <c r="D58" s="1">
        <v>8.16</v>
      </c>
      <c r="E58" s="1">
        <v>8.18</v>
      </c>
      <c r="F58" s="1">
        <v>8.1999999999999993</v>
      </c>
      <c r="G58" s="1">
        <v>8.14</v>
      </c>
      <c r="H58" s="1">
        <v>8.1300000000000008</v>
      </c>
      <c r="I58" s="1">
        <v>8.1199999999999992</v>
      </c>
      <c r="J58" s="1">
        <v>8.1</v>
      </c>
      <c r="K58" s="1">
        <v>8.14</v>
      </c>
      <c r="L58" s="1">
        <v>8.1300000000000008</v>
      </c>
      <c r="M58" s="1">
        <v>8.11</v>
      </c>
      <c r="N58" s="1">
        <v>8.1300000000000008</v>
      </c>
      <c r="O58" s="1">
        <v>8.11</v>
      </c>
      <c r="P58" s="1">
        <v>8.15</v>
      </c>
      <c r="Q58" s="1">
        <v>8.11</v>
      </c>
      <c r="R58" s="1">
        <v>8.1300000000000008</v>
      </c>
      <c r="S58" s="1">
        <v>8.11</v>
      </c>
      <c r="T58" s="1">
        <v>8.09</v>
      </c>
      <c r="U58" s="1">
        <v>8.11</v>
      </c>
      <c r="V58" s="1">
        <v>8.1199999999999992</v>
      </c>
      <c r="W58" s="1">
        <v>8.11</v>
      </c>
      <c r="X58" s="1">
        <v>8.16</v>
      </c>
      <c r="Y58" s="1">
        <v>8.11</v>
      </c>
      <c r="Z58" s="1">
        <v>8.1300000000000008</v>
      </c>
    </row>
    <row r="59" spans="1:26" x14ac:dyDescent="0.2">
      <c r="A59" s="20" t="s">
        <v>45</v>
      </c>
      <c r="B59" s="4"/>
      <c r="C59" s="1">
        <v>8.1300000000000008</v>
      </c>
      <c r="D59" s="1">
        <v>8.16</v>
      </c>
      <c r="E59" s="1">
        <v>8.18</v>
      </c>
      <c r="F59" s="1">
        <v>8.1999999999999993</v>
      </c>
      <c r="G59" s="1">
        <v>8.1300000000000008</v>
      </c>
      <c r="H59" s="1">
        <v>8.14</v>
      </c>
      <c r="I59" s="1">
        <v>8.14</v>
      </c>
      <c r="J59" s="1">
        <v>8.1</v>
      </c>
      <c r="K59" s="1">
        <v>8.14</v>
      </c>
      <c r="L59" s="1">
        <v>8.1199999999999992</v>
      </c>
      <c r="M59" s="1">
        <v>8.11</v>
      </c>
      <c r="N59" s="1">
        <v>8.1300000000000008</v>
      </c>
      <c r="O59" s="1">
        <v>8.1199999999999992</v>
      </c>
      <c r="P59" s="1">
        <v>8.15</v>
      </c>
      <c r="Q59" s="1">
        <v>8.11</v>
      </c>
      <c r="R59" s="1">
        <v>8.1300000000000008</v>
      </c>
      <c r="S59" s="1">
        <v>8.11</v>
      </c>
      <c r="T59" s="1">
        <v>8.11</v>
      </c>
      <c r="U59" s="1">
        <v>8.1300000000000008</v>
      </c>
      <c r="V59" s="1">
        <v>8.1199999999999992</v>
      </c>
      <c r="W59" s="1">
        <v>8.14</v>
      </c>
      <c r="X59" s="1">
        <v>8.19</v>
      </c>
      <c r="Y59" s="1">
        <v>8.11</v>
      </c>
      <c r="Z59" s="1">
        <v>8.18</v>
      </c>
    </row>
    <row r="60" spans="1:26" x14ac:dyDescent="0.2">
      <c r="A60" s="20" t="s">
        <v>46</v>
      </c>
      <c r="B60" s="1">
        <v>8.1300000000000008</v>
      </c>
      <c r="C60" s="1">
        <v>8.1199999999999992</v>
      </c>
      <c r="D60" s="1">
        <v>8.16</v>
      </c>
      <c r="E60" s="1">
        <v>8.16</v>
      </c>
      <c r="F60" s="1">
        <v>8.19</v>
      </c>
      <c r="G60" s="1">
        <v>8.14</v>
      </c>
      <c r="H60" s="1">
        <v>8.1199999999999992</v>
      </c>
      <c r="I60" s="1">
        <v>8.1199999999999992</v>
      </c>
      <c r="J60" s="1">
        <v>8.11</v>
      </c>
      <c r="K60" s="1">
        <v>8.14</v>
      </c>
      <c r="L60" s="1">
        <v>8.1199999999999992</v>
      </c>
      <c r="M60" s="1">
        <v>8.11</v>
      </c>
      <c r="N60" s="1">
        <v>8.1199999999999992</v>
      </c>
      <c r="O60" s="1">
        <v>8.1</v>
      </c>
      <c r="P60" s="1">
        <v>8.1300000000000008</v>
      </c>
      <c r="Q60" s="1">
        <v>8.09</v>
      </c>
      <c r="R60" s="1">
        <v>8.1</v>
      </c>
      <c r="S60" s="1">
        <v>8.08</v>
      </c>
      <c r="T60" s="1">
        <v>8.07</v>
      </c>
      <c r="U60" s="1">
        <v>8.08</v>
      </c>
      <c r="V60" s="1">
        <v>8.08</v>
      </c>
      <c r="W60" s="1">
        <v>8.1199999999999992</v>
      </c>
      <c r="X60" s="1">
        <v>8.1300000000000008</v>
      </c>
      <c r="Y60" s="1">
        <v>8.06</v>
      </c>
      <c r="Z60" s="1">
        <v>8.1</v>
      </c>
    </row>
    <row r="61" spans="1:26" x14ac:dyDescent="0.2">
      <c r="A61" s="20" t="s">
        <v>47</v>
      </c>
      <c r="B61" s="4"/>
      <c r="C61" s="1">
        <v>8.1300000000000008</v>
      </c>
      <c r="D61" s="1">
        <v>8.16</v>
      </c>
      <c r="E61" s="1">
        <v>8.18</v>
      </c>
      <c r="F61" s="1">
        <v>8.19</v>
      </c>
      <c r="G61" s="1">
        <v>8.15</v>
      </c>
      <c r="H61" s="1">
        <v>8.14</v>
      </c>
      <c r="I61" s="1">
        <v>8.1300000000000008</v>
      </c>
      <c r="J61" s="1">
        <v>8.11</v>
      </c>
      <c r="K61" s="1">
        <v>8.14</v>
      </c>
      <c r="L61" s="1">
        <v>8.1300000000000008</v>
      </c>
      <c r="M61" s="1">
        <v>8.1199999999999992</v>
      </c>
      <c r="N61" s="1">
        <v>8.14</v>
      </c>
      <c r="O61" s="1">
        <v>8.1300000000000008</v>
      </c>
      <c r="P61" s="1">
        <v>8.15</v>
      </c>
      <c r="Q61" s="1">
        <v>8.11</v>
      </c>
      <c r="R61" s="1">
        <v>8.1199999999999992</v>
      </c>
      <c r="S61" s="1">
        <v>8.11</v>
      </c>
      <c r="T61" s="1">
        <v>8.1</v>
      </c>
      <c r="U61" s="1">
        <v>8.1199999999999992</v>
      </c>
      <c r="V61" s="1">
        <v>8.11</v>
      </c>
      <c r="W61" s="1">
        <v>8.1199999999999992</v>
      </c>
      <c r="X61" s="1">
        <v>8.14</v>
      </c>
      <c r="Y61" s="1">
        <v>8.09</v>
      </c>
      <c r="Z61" s="1">
        <v>8.11</v>
      </c>
    </row>
    <row r="62" spans="1:26" x14ac:dyDescent="0.2">
      <c r="A62" s="20" t="s">
        <v>48</v>
      </c>
      <c r="B62" s="1">
        <v>8.11</v>
      </c>
      <c r="C62" s="1">
        <v>8.1199999999999992</v>
      </c>
      <c r="D62" s="1">
        <v>8.17</v>
      </c>
      <c r="E62" s="1">
        <v>8.17</v>
      </c>
      <c r="F62" s="1">
        <v>8.2100000000000009</v>
      </c>
      <c r="G62" s="1">
        <v>8.14</v>
      </c>
      <c r="H62" s="1">
        <v>8.14</v>
      </c>
      <c r="I62" s="1">
        <v>8.14</v>
      </c>
      <c r="J62" s="1">
        <v>8.1199999999999992</v>
      </c>
      <c r="K62" s="1">
        <v>8.15</v>
      </c>
      <c r="L62" s="1">
        <v>8.1199999999999992</v>
      </c>
      <c r="M62" s="1">
        <v>8.11</v>
      </c>
      <c r="N62" s="1">
        <v>8.11</v>
      </c>
      <c r="O62" s="1">
        <v>8.11</v>
      </c>
      <c r="P62" s="1">
        <v>8.1300000000000008</v>
      </c>
      <c r="Q62" s="1">
        <v>8.1</v>
      </c>
      <c r="R62" s="1">
        <v>8.1</v>
      </c>
      <c r="S62" s="1">
        <v>8.09</v>
      </c>
      <c r="T62" s="1">
        <v>8.1</v>
      </c>
      <c r="U62" s="1">
        <v>8.09</v>
      </c>
      <c r="V62" s="1">
        <v>8.11</v>
      </c>
      <c r="W62" s="1">
        <v>8.1300000000000008</v>
      </c>
      <c r="X62" s="1">
        <v>8.15</v>
      </c>
      <c r="Y62" s="1">
        <v>8.09</v>
      </c>
      <c r="Z62" s="1">
        <v>8.1300000000000008</v>
      </c>
    </row>
    <row r="63" spans="1:26" x14ac:dyDescent="0.2">
      <c r="A63" s="20" t="s">
        <v>49</v>
      </c>
      <c r="B63" s="4"/>
      <c r="C63" s="1">
        <v>8.1300000000000008</v>
      </c>
      <c r="D63" s="1">
        <v>8.1300000000000008</v>
      </c>
      <c r="E63" s="1">
        <v>8.16</v>
      </c>
      <c r="F63" s="1">
        <v>8.2200000000000006</v>
      </c>
      <c r="G63" s="1">
        <v>8.14</v>
      </c>
      <c r="H63" s="1">
        <v>8.15</v>
      </c>
      <c r="I63" s="1">
        <v>8.1300000000000008</v>
      </c>
      <c r="J63" s="1">
        <v>8.1199999999999992</v>
      </c>
      <c r="K63" s="1">
        <v>8.15</v>
      </c>
      <c r="L63" s="1">
        <v>8.1300000000000008</v>
      </c>
      <c r="M63" s="1">
        <v>8.1199999999999992</v>
      </c>
      <c r="N63" s="1">
        <v>8.1300000000000008</v>
      </c>
      <c r="O63" s="1">
        <v>8.1199999999999992</v>
      </c>
      <c r="P63" s="1">
        <v>8.14</v>
      </c>
      <c r="Q63" s="1">
        <v>8.11</v>
      </c>
      <c r="R63" s="1">
        <v>8.1199999999999992</v>
      </c>
      <c r="S63" s="1">
        <v>8.11</v>
      </c>
      <c r="T63" s="1">
        <v>8.1</v>
      </c>
      <c r="U63" s="1">
        <v>8.1199999999999992</v>
      </c>
      <c r="V63" s="1">
        <v>8.11</v>
      </c>
      <c r="W63" s="1">
        <v>8.1199999999999992</v>
      </c>
      <c r="X63" s="1">
        <v>8.17</v>
      </c>
      <c r="Y63" s="1">
        <v>8.1</v>
      </c>
      <c r="Z63" s="1">
        <v>8.15</v>
      </c>
    </row>
    <row r="64" spans="1:26" x14ac:dyDescent="0.2">
      <c r="A64" s="20" t="s">
        <v>50</v>
      </c>
      <c r="B64" s="1">
        <v>8.1199999999999992</v>
      </c>
      <c r="C64" s="1">
        <v>8.1199999999999992</v>
      </c>
      <c r="D64" s="1">
        <v>8.14</v>
      </c>
      <c r="E64" s="1">
        <v>8.17</v>
      </c>
      <c r="F64" s="1">
        <v>8.1999999999999993</v>
      </c>
      <c r="G64" s="1">
        <v>8.1300000000000008</v>
      </c>
      <c r="H64" s="1">
        <v>8.14</v>
      </c>
      <c r="I64" s="1">
        <v>8.1300000000000008</v>
      </c>
      <c r="J64" s="1">
        <v>8.11</v>
      </c>
      <c r="K64" s="1">
        <v>8.14</v>
      </c>
      <c r="L64" s="1">
        <v>8.1300000000000008</v>
      </c>
      <c r="M64" s="1">
        <v>8.11</v>
      </c>
      <c r="N64" s="1">
        <v>8.11</v>
      </c>
      <c r="O64" s="1">
        <v>8.11</v>
      </c>
      <c r="P64" s="1">
        <v>8.1199999999999992</v>
      </c>
      <c r="Q64" s="1">
        <v>8.09</v>
      </c>
      <c r="R64" s="1">
        <v>8.1</v>
      </c>
      <c r="S64" s="1">
        <v>8.08</v>
      </c>
      <c r="T64" s="1">
        <v>8.09</v>
      </c>
      <c r="U64" s="1">
        <v>8.08</v>
      </c>
      <c r="V64" s="1">
        <v>8.08</v>
      </c>
      <c r="W64" s="1">
        <v>8.1300000000000008</v>
      </c>
      <c r="X64" s="1">
        <v>8.1300000000000008</v>
      </c>
      <c r="Y64" s="1">
        <v>8.07</v>
      </c>
      <c r="Z64" s="1">
        <v>8.11</v>
      </c>
    </row>
    <row r="65" spans="1:27" x14ac:dyDescent="0.2">
      <c r="A65" s="20" t="s">
        <v>51</v>
      </c>
      <c r="B65" s="4"/>
      <c r="C65" s="1">
        <v>8.1300000000000008</v>
      </c>
      <c r="D65" s="1">
        <v>8.16</v>
      </c>
      <c r="E65" s="1">
        <v>8.18</v>
      </c>
      <c r="F65" s="1">
        <v>8.2100000000000009</v>
      </c>
      <c r="G65" s="1">
        <v>8.14</v>
      </c>
      <c r="H65" s="1">
        <v>8.14</v>
      </c>
      <c r="I65" s="1">
        <v>8.1300000000000008</v>
      </c>
      <c r="J65" s="1">
        <v>8.09</v>
      </c>
      <c r="K65" s="1">
        <v>8.14</v>
      </c>
      <c r="L65" s="1">
        <v>8.1199999999999992</v>
      </c>
      <c r="M65" s="1">
        <v>8.11</v>
      </c>
      <c r="N65" s="1">
        <v>8.1300000000000008</v>
      </c>
      <c r="O65" s="1">
        <v>8.1199999999999992</v>
      </c>
      <c r="P65" s="1">
        <v>8.1300000000000008</v>
      </c>
      <c r="Q65" s="1">
        <v>8.1</v>
      </c>
      <c r="R65" s="1">
        <v>8.11</v>
      </c>
      <c r="S65" s="1">
        <v>8.1</v>
      </c>
      <c r="T65" s="1">
        <v>8.09</v>
      </c>
      <c r="U65" s="1">
        <v>8.11</v>
      </c>
      <c r="V65" s="1">
        <v>8.1</v>
      </c>
      <c r="W65" s="1">
        <v>8.1300000000000008</v>
      </c>
      <c r="X65" s="1">
        <v>8.14</v>
      </c>
      <c r="Y65" s="1">
        <v>8.09</v>
      </c>
      <c r="Z65" s="1">
        <v>8.1199999999999992</v>
      </c>
    </row>
    <row r="66" spans="1:27" x14ac:dyDescent="0.2">
      <c r="A66" s="20" t="s">
        <v>52</v>
      </c>
      <c r="B66" s="1">
        <v>8.11</v>
      </c>
      <c r="C66" s="1">
        <v>8.1199999999999992</v>
      </c>
      <c r="D66" s="1">
        <v>8.15</v>
      </c>
      <c r="E66" s="1">
        <v>8.17</v>
      </c>
      <c r="F66" s="1">
        <v>8.2100000000000009</v>
      </c>
      <c r="G66" s="1">
        <v>8.1300000000000008</v>
      </c>
      <c r="H66" s="1">
        <v>8.14</v>
      </c>
      <c r="I66" s="1">
        <v>8.1300000000000008</v>
      </c>
      <c r="J66" s="1">
        <v>8.1300000000000008</v>
      </c>
      <c r="K66" s="1">
        <v>8.14</v>
      </c>
      <c r="L66" s="1">
        <v>8.1199999999999992</v>
      </c>
      <c r="M66" s="1">
        <v>8.1</v>
      </c>
      <c r="N66" s="1">
        <v>8.11</v>
      </c>
      <c r="O66" s="1">
        <v>8.11</v>
      </c>
      <c r="P66" s="1">
        <v>8.1199999999999992</v>
      </c>
      <c r="Q66" s="1">
        <v>8.09</v>
      </c>
      <c r="R66" s="1">
        <v>8.09</v>
      </c>
      <c r="S66" s="1">
        <v>8.09</v>
      </c>
      <c r="T66" s="1">
        <v>8.08</v>
      </c>
      <c r="U66" s="1">
        <v>8.08</v>
      </c>
      <c r="V66" s="1">
        <v>8.08</v>
      </c>
      <c r="W66" s="1">
        <v>8.1199999999999992</v>
      </c>
      <c r="X66" s="1">
        <v>8.14</v>
      </c>
      <c r="Y66" s="1">
        <v>8.09</v>
      </c>
      <c r="Z66" s="1">
        <v>8.14</v>
      </c>
    </row>
    <row r="67" spans="1:27" x14ac:dyDescent="0.2">
      <c r="A67" s="20" t="s">
        <v>53</v>
      </c>
      <c r="B67" s="4"/>
      <c r="C67" s="1">
        <v>8.1199999999999992</v>
      </c>
      <c r="D67" s="1">
        <v>8.17</v>
      </c>
      <c r="E67" s="1">
        <v>8.17</v>
      </c>
      <c r="F67" s="1">
        <v>8.1999999999999993</v>
      </c>
      <c r="G67" s="1">
        <v>8.1199999999999992</v>
      </c>
      <c r="H67" s="1">
        <v>8.14</v>
      </c>
      <c r="I67" s="1">
        <v>8.1300000000000008</v>
      </c>
      <c r="J67" s="1">
        <v>8.1199999999999992</v>
      </c>
      <c r="K67" s="1">
        <v>8.14</v>
      </c>
      <c r="L67" s="1">
        <v>8.1300000000000008</v>
      </c>
      <c r="M67" s="1">
        <v>8.11</v>
      </c>
      <c r="N67" s="1">
        <v>8.1199999999999992</v>
      </c>
      <c r="O67" s="1">
        <v>8.1199999999999992</v>
      </c>
      <c r="P67" s="1">
        <v>8.1300000000000008</v>
      </c>
      <c r="Q67" s="1">
        <v>8.09</v>
      </c>
      <c r="R67" s="1">
        <v>8.1</v>
      </c>
      <c r="S67" s="1">
        <v>8.09</v>
      </c>
      <c r="T67" s="1">
        <v>8.08</v>
      </c>
      <c r="U67" s="1">
        <v>8.1</v>
      </c>
      <c r="V67" s="1">
        <v>8.09</v>
      </c>
      <c r="W67" s="1">
        <v>8.1300000000000008</v>
      </c>
      <c r="X67" s="1">
        <v>8.15</v>
      </c>
      <c r="Y67" s="1">
        <v>8.1</v>
      </c>
      <c r="Z67" s="1">
        <v>8.14</v>
      </c>
    </row>
    <row r="68" spans="1:27" x14ac:dyDescent="0.2">
      <c r="A68" s="20" t="s">
        <v>54</v>
      </c>
      <c r="B68" s="1">
        <v>8.11</v>
      </c>
      <c r="C68" s="1">
        <v>8.1300000000000008</v>
      </c>
      <c r="D68" s="1">
        <v>8.16</v>
      </c>
      <c r="E68" s="1">
        <v>8.18</v>
      </c>
      <c r="F68" s="1">
        <v>8.1999999999999993</v>
      </c>
      <c r="G68" s="1">
        <v>8.14</v>
      </c>
      <c r="H68" s="1">
        <v>8.1199999999999992</v>
      </c>
      <c r="I68" s="1">
        <v>8.1199999999999992</v>
      </c>
      <c r="J68" s="1">
        <v>8.1199999999999992</v>
      </c>
      <c r="K68" s="1">
        <v>8.15</v>
      </c>
      <c r="L68" s="1">
        <v>8.1300000000000008</v>
      </c>
      <c r="M68" s="1">
        <v>8.11</v>
      </c>
      <c r="N68" s="1">
        <v>8.1199999999999992</v>
      </c>
      <c r="O68" s="1">
        <v>8.1199999999999992</v>
      </c>
      <c r="P68" s="1">
        <v>8.14</v>
      </c>
      <c r="Q68" s="1">
        <v>8.1</v>
      </c>
      <c r="R68" s="1">
        <v>8.11</v>
      </c>
      <c r="S68" s="1">
        <v>8.09</v>
      </c>
      <c r="T68" s="1">
        <v>8.09</v>
      </c>
      <c r="U68" s="1">
        <v>8.11</v>
      </c>
      <c r="V68" s="1">
        <v>8.09</v>
      </c>
      <c r="W68" s="1">
        <v>8.1300000000000008</v>
      </c>
      <c r="X68" s="1">
        <v>8.15</v>
      </c>
      <c r="Y68" s="1">
        <v>8.11</v>
      </c>
      <c r="Z68" s="1">
        <v>8.15</v>
      </c>
    </row>
    <row r="69" spans="1:27" x14ac:dyDescent="0.2">
      <c r="A69" s="20" t="s">
        <v>55</v>
      </c>
      <c r="B69" s="4"/>
      <c r="C69" s="1">
        <v>8.14</v>
      </c>
      <c r="D69" s="1">
        <v>8.18</v>
      </c>
      <c r="E69" s="1">
        <v>8.17</v>
      </c>
      <c r="F69" s="1">
        <v>8.19</v>
      </c>
      <c r="G69" s="1">
        <v>8.1300000000000008</v>
      </c>
      <c r="H69" s="1">
        <v>8.14</v>
      </c>
      <c r="I69" s="1">
        <v>8.11</v>
      </c>
      <c r="J69" s="1">
        <v>8.1199999999999992</v>
      </c>
      <c r="K69" s="1">
        <v>8.15</v>
      </c>
      <c r="L69" s="1">
        <v>8.14</v>
      </c>
      <c r="M69" s="1">
        <v>8.1199999999999992</v>
      </c>
      <c r="N69" s="1">
        <v>8.1199999999999992</v>
      </c>
      <c r="O69" s="1">
        <v>8.1199999999999992</v>
      </c>
      <c r="P69" s="1">
        <v>8.14</v>
      </c>
      <c r="Q69" s="1">
        <v>8.1</v>
      </c>
      <c r="R69" s="1">
        <v>8.1</v>
      </c>
      <c r="S69" s="1">
        <v>8.09</v>
      </c>
      <c r="T69" s="1">
        <v>8.08</v>
      </c>
      <c r="U69" s="1">
        <v>8.11</v>
      </c>
      <c r="V69" s="1">
        <v>8.09</v>
      </c>
      <c r="W69" s="1">
        <v>8.14</v>
      </c>
      <c r="X69" s="1">
        <v>8.14</v>
      </c>
      <c r="Y69" s="1">
        <v>8.11</v>
      </c>
      <c r="Z69" s="1">
        <v>8.14</v>
      </c>
    </row>
    <row r="70" spans="1:27" x14ac:dyDescent="0.2">
      <c r="A70" s="34"/>
    </row>
    <row r="71" spans="1:27" x14ac:dyDescent="0.2">
      <c r="A71" s="34"/>
    </row>
    <row r="72" spans="1:27" x14ac:dyDescent="0.2">
      <c r="A72" s="34"/>
    </row>
    <row r="73" spans="1:27" x14ac:dyDescent="0.2">
      <c r="A73" s="34" t="s">
        <v>95</v>
      </c>
      <c r="B73" s="35">
        <v>45477</v>
      </c>
      <c r="C73" s="35">
        <v>45478</v>
      </c>
      <c r="D73" s="35">
        <v>45479</v>
      </c>
      <c r="E73" s="35">
        <v>45480</v>
      </c>
      <c r="F73" s="35">
        <v>45481</v>
      </c>
      <c r="G73" s="35">
        <v>45482</v>
      </c>
      <c r="H73" s="35">
        <v>45483</v>
      </c>
      <c r="I73" s="35">
        <v>45484</v>
      </c>
      <c r="J73" s="35">
        <v>45485</v>
      </c>
      <c r="K73" s="35">
        <v>45486</v>
      </c>
      <c r="L73" s="35">
        <v>45487</v>
      </c>
      <c r="M73" s="35">
        <v>45488</v>
      </c>
      <c r="N73" s="35">
        <v>45489</v>
      </c>
      <c r="O73" s="35">
        <v>45490</v>
      </c>
      <c r="P73" s="35">
        <v>45491</v>
      </c>
      <c r="Q73" s="35">
        <v>45492</v>
      </c>
      <c r="R73" s="35">
        <v>45493</v>
      </c>
      <c r="S73" s="35">
        <v>45494</v>
      </c>
      <c r="T73" s="35">
        <v>45495</v>
      </c>
      <c r="U73" s="35">
        <v>45496</v>
      </c>
      <c r="V73" s="35">
        <v>45497</v>
      </c>
      <c r="W73" s="35">
        <v>45498</v>
      </c>
      <c r="X73" s="35">
        <v>45499</v>
      </c>
      <c r="Y73" s="35">
        <v>45500</v>
      </c>
      <c r="Z73" s="35">
        <v>45501</v>
      </c>
      <c r="AA73" s="20"/>
    </row>
    <row r="74" spans="1:27" x14ac:dyDescent="0.2">
      <c r="A74" s="34" t="s">
        <v>7</v>
      </c>
      <c r="B74">
        <f>AVERAGE(B21:B22)</f>
        <v>27</v>
      </c>
      <c r="C74">
        <f t="shared" ref="C74:Z74" si="0">AVERAGE(C21:C22)</f>
        <v>26.8</v>
      </c>
      <c r="D74">
        <f t="shared" si="0"/>
        <v>26.9</v>
      </c>
      <c r="E74">
        <f t="shared" si="0"/>
        <v>26.95</v>
      </c>
      <c r="F74">
        <f t="shared" si="0"/>
        <v>26.9</v>
      </c>
      <c r="G74">
        <f t="shared" si="0"/>
        <v>26.6</v>
      </c>
      <c r="H74">
        <f t="shared" si="0"/>
        <v>26.799999999999997</v>
      </c>
      <c r="I74">
        <f t="shared" si="0"/>
        <v>26.799999999999997</v>
      </c>
      <c r="J74">
        <f t="shared" si="0"/>
        <v>27</v>
      </c>
      <c r="K74">
        <f t="shared" si="0"/>
        <v>26.75</v>
      </c>
      <c r="L74">
        <f t="shared" si="0"/>
        <v>26.7</v>
      </c>
      <c r="M74">
        <f t="shared" si="0"/>
        <v>27.1</v>
      </c>
      <c r="N74">
        <f t="shared" si="0"/>
        <v>26.85</v>
      </c>
      <c r="O74">
        <f t="shared" si="0"/>
        <v>26.799999999999997</v>
      </c>
      <c r="P74">
        <f t="shared" si="0"/>
        <v>26.799999999999997</v>
      </c>
      <c r="Q74">
        <f t="shared" si="0"/>
        <v>26.95</v>
      </c>
      <c r="R74">
        <f t="shared" si="0"/>
        <v>26.85</v>
      </c>
      <c r="S74">
        <f t="shared" si="0"/>
        <v>26.85</v>
      </c>
      <c r="T74">
        <f t="shared" si="0"/>
        <v>26.85</v>
      </c>
      <c r="U74">
        <f t="shared" si="0"/>
        <v>26.9</v>
      </c>
      <c r="V74">
        <f t="shared" si="0"/>
        <v>26.799999999999997</v>
      </c>
      <c r="W74">
        <f t="shared" si="0"/>
        <v>26.8</v>
      </c>
      <c r="X74">
        <f t="shared" si="0"/>
        <v>26.95</v>
      </c>
      <c r="Y74">
        <f t="shared" si="0"/>
        <v>27.15</v>
      </c>
      <c r="Z74">
        <f t="shared" si="0"/>
        <v>26.9</v>
      </c>
    </row>
    <row r="75" spans="1:27" x14ac:dyDescent="0.2">
      <c r="A75" s="34" t="s">
        <v>8</v>
      </c>
      <c r="B75">
        <f>AVERAGE(B23:B24)</f>
        <v>26.7</v>
      </c>
      <c r="C75">
        <f t="shared" ref="C75:Z75" si="1">AVERAGE(C23:C24)</f>
        <v>26.55</v>
      </c>
      <c r="D75">
        <f t="shared" si="1"/>
        <v>26.75</v>
      </c>
      <c r="E75">
        <f t="shared" si="1"/>
        <v>26.75</v>
      </c>
      <c r="F75">
        <f t="shared" si="1"/>
        <v>26.6</v>
      </c>
      <c r="G75">
        <f t="shared" si="1"/>
        <v>26.75</v>
      </c>
      <c r="H75">
        <f t="shared" si="1"/>
        <v>26.65</v>
      </c>
      <c r="I75">
        <f t="shared" si="1"/>
        <v>26.65</v>
      </c>
      <c r="J75">
        <f t="shared" si="1"/>
        <v>27.299999999999997</v>
      </c>
      <c r="K75">
        <f t="shared" si="1"/>
        <v>27.8</v>
      </c>
      <c r="L75">
        <f t="shared" si="1"/>
        <v>28.25</v>
      </c>
      <c r="M75">
        <f t="shared" si="1"/>
        <v>28.8</v>
      </c>
      <c r="N75">
        <f t="shared" si="1"/>
        <v>29.25</v>
      </c>
      <c r="O75">
        <f t="shared" si="1"/>
        <v>29.85</v>
      </c>
      <c r="P75">
        <f t="shared" si="1"/>
        <v>30.35</v>
      </c>
      <c r="Q75">
        <f t="shared" si="1"/>
        <v>30.85</v>
      </c>
      <c r="R75">
        <f t="shared" si="1"/>
        <v>31.3</v>
      </c>
      <c r="S75">
        <f t="shared" si="1"/>
        <v>31.7</v>
      </c>
      <c r="T75">
        <f t="shared" si="1"/>
        <v>31.75</v>
      </c>
      <c r="U75">
        <f t="shared" si="1"/>
        <v>31.799999999999997</v>
      </c>
      <c r="V75">
        <f t="shared" si="1"/>
        <v>31.8</v>
      </c>
      <c r="W75">
        <f t="shared" si="1"/>
        <v>31.799999999999997</v>
      </c>
      <c r="X75">
        <f t="shared" si="1"/>
        <v>31.9</v>
      </c>
      <c r="Y75">
        <f t="shared" si="1"/>
        <v>31.799999999999997</v>
      </c>
      <c r="Z75">
        <f t="shared" si="1"/>
        <v>31.799999999999997</v>
      </c>
    </row>
    <row r="76" spans="1:27" x14ac:dyDescent="0.2">
      <c r="A76" s="34" t="s">
        <v>9</v>
      </c>
      <c r="B76">
        <f>AVERAGE(B25:B26)</f>
        <v>26.9</v>
      </c>
      <c r="C76">
        <f t="shared" ref="C76:Z76" si="2">AVERAGE(C25:C26)</f>
        <v>26.8</v>
      </c>
      <c r="D76">
        <f t="shared" si="2"/>
        <v>26.75</v>
      </c>
      <c r="E76">
        <f t="shared" si="2"/>
        <v>26.8</v>
      </c>
      <c r="F76">
        <f t="shared" si="2"/>
        <v>26.85</v>
      </c>
      <c r="G76">
        <f t="shared" si="2"/>
        <v>26.7</v>
      </c>
      <c r="H76">
        <f t="shared" si="2"/>
        <v>26.7</v>
      </c>
      <c r="I76">
        <f t="shared" si="2"/>
        <v>26.700000000000003</v>
      </c>
      <c r="J76">
        <f t="shared" si="2"/>
        <v>26.75</v>
      </c>
      <c r="K76">
        <f t="shared" si="2"/>
        <v>26.75</v>
      </c>
      <c r="L76">
        <f t="shared" si="2"/>
        <v>26.75</v>
      </c>
      <c r="M76">
        <f t="shared" si="2"/>
        <v>26.9</v>
      </c>
      <c r="N76">
        <f t="shared" si="2"/>
        <v>26.75</v>
      </c>
      <c r="O76">
        <f t="shared" si="2"/>
        <v>26.8</v>
      </c>
      <c r="P76">
        <f t="shared" si="2"/>
        <v>26.9</v>
      </c>
      <c r="Q76">
        <f t="shared" si="2"/>
        <v>26.95</v>
      </c>
      <c r="R76">
        <f t="shared" si="2"/>
        <v>26.9</v>
      </c>
      <c r="S76">
        <f t="shared" si="2"/>
        <v>26.950000000000003</v>
      </c>
      <c r="T76">
        <f t="shared" si="2"/>
        <v>26.95</v>
      </c>
      <c r="U76">
        <f t="shared" si="2"/>
        <v>26.8</v>
      </c>
      <c r="V76">
        <f t="shared" si="2"/>
        <v>26.9</v>
      </c>
      <c r="W76">
        <f t="shared" si="2"/>
        <v>26.799999999999997</v>
      </c>
      <c r="X76">
        <f t="shared" si="2"/>
        <v>26.95</v>
      </c>
      <c r="Y76">
        <f t="shared" si="2"/>
        <v>27</v>
      </c>
      <c r="Z76">
        <f t="shared" si="2"/>
        <v>27.15</v>
      </c>
    </row>
    <row r="77" spans="1:27" x14ac:dyDescent="0.2">
      <c r="A77" s="34" t="s">
        <v>10</v>
      </c>
      <c r="B77">
        <f>AVERAGE(B27:B28)</f>
        <v>28.1</v>
      </c>
      <c r="C77">
        <f t="shared" ref="C77:Z77" si="3">AVERAGE(C27:C28)</f>
        <v>26.9</v>
      </c>
      <c r="D77">
        <f t="shared" si="3"/>
        <v>26.85</v>
      </c>
      <c r="E77">
        <f t="shared" si="3"/>
        <v>26.9</v>
      </c>
      <c r="F77">
        <f t="shared" si="3"/>
        <v>26.85</v>
      </c>
      <c r="G77">
        <f t="shared" si="3"/>
        <v>26.65</v>
      </c>
      <c r="H77">
        <f t="shared" si="3"/>
        <v>26.85</v>
      </c>
      <c r="I77">
        <f t="shared" si="3"/>
        <v>26.85</v>
      </c>
      <c r="J77">
        <f t="shared" si="3"/>
        <v>27.2</v>
      </c>
      <c r="K77">
        <f t="shared" si="3"/>
        <v>27.75</v>
      </c>
      <c r="L77">
        <f t="shared" si="3"/>
        <v>28.35</v>
      </c>
      <c r="M77">
        <f t="shared" si="3"/>
        <v>28.9</v>
      </c>
      <c r="N77">
        <f t="shared" si="3"/>
        <v>29.35</v>
      </c>
      <c r="O77">
        <f t="shared" si="3"/>
        <v>29.799999999999997</v>
      </c>
      <c r="P77">
        <f t="shared" si="3"/>
        <v>30.200000000000003</v>
      </c>
      <c r="Q77">
        <f t="shared" si="3"/>
        <v>30.9</v>
      </c>
      <c r="R77">
        <f t="shared" si="3"/>
        <v>31.45</v>
      </c>
      <c r="S77">
        <f t="shared" si="3"/>
        <v>31.8</v>
      </c>
      <c r="T77">
        <f t="shared" si="3"/>
        <v>31.85</v>
      </c>
      <c r="U77">
        <f t="shared" si="3"/>
        <v>31.85</v>
      </c>
      <c r="V77">
        <f t="shared" si="3"/>
        <v>31.85</v>
      </c>
      <c r="W77">
        <f t="shared" si="3"/>
        <v>31.9</v>
      </c>
      <c r="X77">
        <f t="shared" si="3"/>
        <v>31.9</v>
      </c>
      <c r="Y77">
        <f t="shared" si="3"/>
        <v>32</v>
      </c>
      <c r="Z77">
        <f t="shared" si="3"/>
        <v>31.9</v>
      </c>
    </row>
    <row r="78" spans="1:27" x14ac:dyDescent="0.2">
      <c r="A78" s="34" t="s">
        <v>11</v>
      </c>
      <c r="B78">
        <f>AVERAGE(B29:B30)</f>
        <v>26.8</v>
      </c>
      <c r="C78">
        <f t="shared" ref="C78:Z78" si="4">AVERAGE(C29:C30)</f>
        <v>26.9</v>
      </c>
      <c r="D78">
        <f t="shared" si="4"/>
        <v>26.799999999999997</v>
      </c>
      <c r="E78">
        <f t="shared" si="4"/>
        <v>26.9</v>
      </c>
      <c r="F78">
        <f t="shared" si="4"/>
        <v>26.75</v>
      </c>
      <c r="G78">
        <f t="shared" si="4"/>
        <v>26.85</v>
      </c>
      <c r="H78">
        <f t="shared" si="4"/>
        <v>26.75</v>
      </c>
      <c r="I78">
        <f t="shared" si="4"/>
        <v>26.7</v>
      </c>
      <c r="J78">
        <f t="shared" si="4"/>
        <v>27.25</v>
      </c>
      <c r="K78">
        <f t="shared" si="4"/>
        <v>27.85</v>
      </c>
      <c r="L78">
        <f t="shared" si="4"/>
        <v>28.299999999999997</v>
      </c>
      <c r="M78">
        <f t="shared" si="4"/>
        <v>28.7</v>
      </c>
      <c r="N78">
        <f t="shared" si="4"/>
        <v>29.25</v>
      </c>
      <c r="O78">
        <f t="shared" si="4"/>
        <v>29.75</v>
      </c>
      <c r="P78">
        <f t="shared" si="4"/>
        <v>30.15</v>
      </c>
      <c r="Q78">
        <f t="shared" si="4"/>
        <v>30.8</v>
      </c>
      <c r="R78">
        <f t="shared" si="4"/>
        <v>31.4</v>
      </c>
      <c r="S78">
        <f t="shared" si="4"/>
        <v>31.8</v>
      </c>
      <c r="T78">
        <f t="shared" si="4"/>
        <v>31.9</v>
      </c>
      <c r="U78">
        <f t="shared" si="4"/>
        <v>31.95</v>
      </c>
      <c r="V78">
        <f t="shared" si="4"/>
        <v>31.8</v>
      </c>
      <c r="W78">
        <f t="shared" si="4"/>
        <v>31.85</v>
      </c>
      <c r="X78">
        <f t="shared" si="4"/>
        <v>31.9</v>
      </c>
      <c r="Y78">
        <f t="shared" si="4"/>
        <v>32.049999999999997</v>
      </c>
      <c r="Z78">
        <f t="shared" si="4"/>
        <v>31.85</v>
      </c>
    </row>
    <row r="79" spans="1:27" x14ac:dyDescent="0.2">
      <c r="A79" s="34" t="s">
        <v>12</v>
      </c>
      <c r="B79">
        <f>AVERAGE(B31:B32)</f>
        <v>26.9</v>
      </c>
      <c r="C79">
        <f t="shared" ref="C79:Z79" si="5">AVERAGE(C31:C32)</f>
        <v>26.75</v>
      </c>
      <c r="D79">
        <f t="shared" si="5"/>
        <v>26.9</v>
      </c>
      <c r="E79">
        <f t="shared" si="5"/>
        <v>26.85</v>
      </c>
      <c r="F79">
        <f t="shared" si="5"/>
        <v>26.75</v>
      </c>
      <c r="G79">
        <f t="shared" si="5"/>
        <v>27</v>
      </c>
      <c r="H79">
        <f t="shared" si="5"/>
        <v>26.75</v>
      </c>
      <c r="I79">
        <f t="shared" si="5"/>
        <v>26.9</v>
      </c>
      <c r="J79">
        <f t="shared" si="5"/>
        <v>27.3</v>
      </c>
      <c r="K79">
        <f t="shared" si="5"/>
        <v>27.85</v>
      </c>
      <c r="L79">
        <f t="shared" si="5"/>
        <v>28.3</v>
      </c>
      <c r="M79">
        <f t="shared" si="5"/>
        <v>28.9</v>
      </c>
      <c r="N79">
        <f t="shared" si="5"/>
        <v>29.2</v>
      </c>
      <c r="O79">
        <f t="shared" si="5"/>
        <v>29.9</v>
      </c>
      <c r="P79">
        <f t="shared" si="5"/>
        <v>30.4</v>
      </c>
      <c r="Q79">
        <f t="shared" si="5"/>
        <v>30.9</v>
      </c>
      <c r="R79">
        <f t="shared" si="5"/>
        <v>31.4</v>
      </c>
      <c r="S79">
        <f t="shared" si="5"/>
        <v>31.7</v>
      </c>
      <c r="T79">
        <f t="shared" si="5"/>
        <v>31.75</v>
      </c>
      <c r="U79">
        <f t="shared" si="5"/>
        <v>31.85</v>
      </c>
      <c r="V79">
        <f t="shared" si="5"/>
        <v>31.85</v>
      </c>
      <c r="W79">
        <f t="shared" si="5"/>
        <v>31.85</v>
      </c>
      <c r="X79">
        <f t="shared" si="5"/>
        <v>31.9</v>
      </c>
      <c r="Y79">
        <f t="shared" si="5"/>
        <v>31.85</v>
      </c>
      <c r="Z79">
        <f t="shared" si="5"/>
        <v>31.9</v>
      </c>
    </row>
    <row r="80" spans="1:27" x14ac:dyDescent="0.2">
      <c r="A80" s="34" t="s">
        <v>13</v>
      </c>
      <c r="B80">
        <f>AVERAGE(B33:B34)</f>
        <v>27.2</v>
      </c>
      <c r="C80">
        <f t="shared" ref="C80:Z80" si="6">AVERAGE(C33:C34)</f>
        <v>26.8</v>
      </c>
      <c r="D80">
        <f t="shared" si="6"/>
        <v>26.700000000000003</v>
      </c>
      <c r="E80">
        <f t="shared" si="6"/>
        <v>27</v>
      </c>
      <c r="F80">
        <f t="shared" si="6"/>
        <v>26.75</v>
      </c>
      <c r="G80">
        <f t="shared" si="6"/>
        <v>26.85</v>
      </c>
      <c r="H80">
        <f t="shared" si="6"/>
        <v>26.7</v>
      </c>
      <c r="I80">
        <f t="shared" si="6"/>
        <v>26.799999999999997</v>
      </c>
      <c r="J80">
        <f t="shared" si="6"/>
        <v>27.15</v>
      </c>
      <c r="K80">
        <f t="shared" si="6"/>
        <v>27.75</v>
      </c>
      <c r="L80">
        <f t="shared" si="6"/>
        <v>28.4</v>
      </c>
      <c r="M80">
        <f t="shared" si="6"/>
        <v>28.9</v>
      </c>
      <c r="N80">
        <f t="shared" si="6"/>
        <v>29.450000000000003</v>
      </c>
      <c r="O80">
        <f t="shared" si="6"/>
        <v>29.9</v>
      </c>
      <c r="P80">
        <f t="shared" si="6"/>
        <v>30.15</v>
      </c>
      <c r="Q80">
        <f t="shared" si="6"/>
        <v>30.85</v>
      </c>
      <c r="R80">
        <f t="shared" si="6"/>
        <v>31.3</v>
      </c>
      <c r="S80">
        <f t="shared" si="6"/>
        <v>31.65</v>
      </c>
      <c r="T80">
        <f t="shared" si="6"/>
        <v>31.8</v>
      </c>
      <c r="U80">
        <f t="shared" si="6"/>
        <v>31.9</v>
      </c>
      <c r="V80">
        <f t="shared" si="6"/>
        <v>31.85</v>
      </c>
      <c r="W80">
        <f t="shared" si="6"/>
        <v>31.9</v>
      </c>
      <c r="X80">
        <f t="shared" si="6"/>
        <v>31.75</v>
      </c>
      <c r="Y80">
        <f t="shared" si="6"/>
        <v>31.9</v>
      </c>
      <c r="Z80">
        <f t="shared" si="6"/>
        <v>31.85</v>
      </c>
    </row>
    <row r="81" spans="1:26" x14ac:dyDescent="0.2">
      <c r="A81" s="34"/>
    </row>
    <row r="82" spans="1:26" x14ac:dyDescent="0.2">
      <c r="A82" s="34"/>
    </row>
    <row r="83" spans="1:26" x14ac:dyDescent="0.2">
      <c r="A83" s="34"/>
    </row>
    <row r="84" spans="1:26" x14ac:dyDescent="0.2">
      <c r="A84" s="34"/>
    </row>
    <row r="85" spans="1:26" x14ac:dyDescent="0.2">
      <c r="A85" s="34"/>
    </row>
    <row r="86" spans="1:26" x14ac:dyDescent="0.2">
      <c r="A86" s="34"/>
    </row>
    <row r="87" spans="1:26" x14ac:dyDescent="0.2">
      <c r="A87" s="34"/>
    </row>
    <row r="88" spans="1:26" x14ac:dyDescent="0.2">
      <c r="A88" s="34"/>
    </row>
    <row r="89" spans="1:26" x14ac:dyDescent="0.2">
      <c r="A89" s="34" t="s">
        <v>89</v>
      </c>
      <c r="B89" s="9">
        <v>45477</v>
      </c>
      <c r="C89" s="9">
        <v>45478</v>
      </c>
      <c r="D89" s="9">
        <v>45479</v>
      </c>
      <c r="E89" s="9">
        <v>45480</v>
      </c>
      <c r="F89" s="9">
        <v>45481</v>
      </c>
      <c r="G89" s="9">
        <v>45482</v>
      </c>
      <c r="H89" s="9">
        <v>45483</v>
      </c>
      <c r="I89" s="9">
        <v>45484</v>
      </c>
      <c r="J89" s="9">
        <v>45485</v>
      </c>
      <c r="K89" s="9">
        <v>45486</v>
      </c>
      <c r="L89" s="9">
        <v>45487</v>
      </c>
      <c r="M89" s="9">
        <v>45488</v>
      </c>
      <c r="N89" s="9">
        <v>45489</v>
      </c>
      <c r="O89" s="9">
        <v>45490</v>
      </c>
      <c r="P89" s="9">
        <v>45491</v>
      </c>
      <c r="Q89" s="9">
        <v>45492</v>
      </c>
      <c r="R89" s="9">
        <v>45493</v>
      </c>
      <c r="S89" s="9">
        <v>45494</v>
      </c>
      <c r="T89" s="9">
        <v>45495</v>
      </c>
      <c r="U89" s="9">
        <v>45496</v>
      </c>
      <c r="V89" s="9">
        <v>45497</v>
      </c>
      <c r="W89" s="9">
        <v>45498</v>
      </c>
      <c r="X89" s="9">
        <v>45499</v>
      </c>
      <c r="Y89" s="9">
        <v>45500</v>
      </c>
      <c r="Z89" s="9">
        <v>45501</v>
      </c>
    </row>
    <row r="90" spans="1:26" x14ac:dyDescent="0.2">
      <c r="A90" s="34" t="s">
        <v>7</v>
      </c>
      <c r="B90">
        <f>AVERAGE(B39:B40)</f>
        <v>35.6</v>
      </c>
      <c r="C90">
        <f t="shared" ref="C90:Z90" si="7">AVERAGE(C39:C40)</f>
        <v>35.700000000000003</v>
      </c>
      <c r="D90">
        <f t="shared" si="7"/>
        <v>35.549999999999997</v>
      </c>
      <c r="E90">
        <f t="shared" si="7"/>
        <v>35.650000000000006</v>
      </c>
      <c r="F90">
        <f t="shared" si="7"/>
        <v>35.6</v>
      </c>
      <c r="G90">
        <f t="shared" si="7"/>
        <v>35.549999999999997</v>
      </c>
      <c r="H90">
        <f t="shared" si="7"/>
        <v>35.549999999999997</v>
      </c>
      <c r="I90">
        <f t="shared" si="7"/>
        <v>35.65</v>
      </c>
      <c r="J90">
        <f t="shared" si="7"/>
        <v>35.549999999999997</v>
      </c>
      <c r="K90">
        <f t="shared" si="7"/>
        <v>35.6</v>
      </c>
      <c r="L90">
        <f t="shared" si="7"/>
        <v>35.6</v>
      </c>
      <c r="M90">
        <f t="shared" si="7"/>
        <v>35.6</v>
      </c>
      <c r="N90">
        <f t="shared" si="7"/>
        <v>35.549999999999997</v>
      </c>
      <c r="O90">
        <f t="shared" si="7"/>
        <v>35.6</v>
      </c>
      <c r="P90">
        <f t="shared" si="7"/>
        <v>36.1</v>
      </c>
      <c r="Q90">
        <f t="shared" si="7"/>
        <v>36.25</v>
      </c>
      <c r="R90">
        <f t="shared" si="7"/>
        <v>36.1</v>
      </c>
      <c r="S90">
        <f t="shared" si="7"/>
        <v>36.1</v>
      </c>
      <c r="T90">
        <f t="shared" si="7"/>
        <v>35.849999999999994</v>
      </c>
      <c r="U90">
        <f t="shared" si="7"/>
        <v>35.299999999999997</v>
      </c>
      <c r="V90">
        <f t="shared" si="7"/>
        <v>35.200000000000003</v>
      </c>
      <c r="W90">
        <f t="shared" si="7"/>
        <v>35.299999999999997</v>
      </c>
      <c r="X90">
        <f t="shared" si="7"/>
        <v>35.200000000000003</v>
      </c>
      <c r="Y90">
        <f t="shared" si="7"/>
        <v>35.849999999999994</v>
      </c>
      <c r="Z90">
        <f t="shared" si="7"/>
        <v>35.9</v>
      </c>
    </row>
    <row r="91" spans="1:26" x14ac:dyDescent="0.2">
      <c r="A91" s="34" t="s">
        <v>8</v>
      </c>
      <c r="B91">
        <f>AVERAGE(B41:B42)</f>
        <v>35.5</v>
      </c>
      <c r="C91">
        <f t="shared" ref="C91:Z91" si="8">AVERAGE(C41:C42)</f>
        <v>35.549999999999997</v>
      </c>
      <c r="D91">
        <f t="shared" si="8"/>
        <v>35.700000000000003</v>
      </c>
      <c r="E91">
        <f>AVERAGE(E41:E42)</f>
        <v>35.75</v>
      </c>
      <c r="F91">
        <f t="shared" si="8"/>
        <v>35.650000000000006</v>
      </c>
      <c r="G91">
        <f t="shared" si="8"/>
        <v>35.6</v>
      </c>
      <c r="H91">
        <f t="shared" si="8"/>
        <v>35.450000000000003</v>
      </c>
      <c r="I91">
        <f t="shared" si="8"/>
        <v>35.5</v>
      </c>
      <c r="J91">
        <f t="shared" si="8"/>
        <v>35.549999999999997</v>
      </c>
      <c r="K91">
        <f t="shared" si="8"/>
        <v>35.6</v>
      </c>
      <c r="L91">
        <f t="shared" si="8"/>
        <v>35.6</v>
      </c>
      <c r="M91">
        <f t="shared" si="8"/>
        <v>35.700000000000003</v>
      </c>
      <c r="N91">
        <f t="shared" si="8"/>
        <v>35.650000000000006</v>
      </c>
      <c r="O91">
        <f t="shared" si="8"/>
        <v>35.75</v>
      </c>
      <c r="P91">
        <f t="shared" si="8"/>
        <v>36.299999999999997</v>
      </c>
      <c r="Q91">
        <f t="shared" si="8"/>
        <v>36.349999999999994</v>
      </c>
      <c r="R91">
        <f t="shared" si="8"/>
        <v>36.299999999999997</v>
      </c>
      <c r="S91">
        <f t="shared" si="8"/>
        <v>36.349999999999994</v>
      </c>
      <c r="T91">
        <f t="shared" si="8"/>
        <v>36.1</v>
      </c>
      <c r="U91">
        <f t="shared" si="8"/>
        <v>35.65</v>
      </c>
      <c r="V91">
        <f t="shared" si="8"/>
        <v>35.6</v>
      </c>
      <c r="W91">
        <f t="shared" si="8"/>
        <v>35.75</v>
      </c>
      <c r="X91">
        <f t="shared" si="8"/>
        <v>35.450000000000003</v>
      </c>
      <c r="Y91">
        <f t="shared" si="8"/>
        <v>36.299999999999997</v>
      </c>
      <c r="Z91">
        <f t="shared" si="8"/>
        <v>36.4</v>
      </c>
    </row>
    <row r="92" spans="1:26" x14ac:dyDescent="0.2">
      <c r="A92" s="34" t="s">
        <v>9</v>
      </c>
      <c r="B92">
        <f t="shared" ref="B92:Z92" si="9">AVERAGE(B43:B44)</f>
        <v>35.6</v>
      </c>
      <c r="C92">
        <f t="shared" si="9"/>
        <v>35.650000000000006</v>
      </c>
      <c r="D92">
        <f t="shared" si="9"/>
        <v>35.650000000000006</v>
      </c>
      <c r="E92">
        <f t="shared" si="9"/>
        <v>35.75</v>
      </c>
      <c r="F92">
        <f t="shared" si="9"/>
        <v>35.75</v>
      </c>
      <c r="G92">
        <f t="shared" si="9"/>
        <v>35.6</v>
      </c>
      <c r="H92">
        <f t="shared" si="9"/>
        <v>35.549999999999997</v>
      </c>
      <c r="I92">
        <f t="shared" si="9"/>
        <v>35.5</v>
      </c>
      <c r="J92">
        <f t="shared" si="9"/>
        <v>35.450000000000003</v>
      </c>
      <c r="K92">
        <f t="shared" si="9"/>
        <v>35.5</v>
      </c>
      <c r="L92">
        <f t="shared" si="9"/>
        <v>35.450000000000003</v>
      </c>
      <c r="M92">
        <f t="shared" si="9"/>
        <v>35.5</v>
      </c>
      <c r="N92">
        <f t="shared" si="9"/>
        <v>35.5</v>
      </c>
      <c r="O92">
        <f t="shared" si="9"/>
        <v>35.6</v>
      </c>
      <c r="P92">
        <f t="shared" si="9"/>
        <v>35.950000000000003</v>
      </c>
      <c r="Q92">
        <f t="shared" si="9"/>
        <v>36</v>
      </c>
      <c r="R92">
        <f t="shared" si="9"/>
        <v>36</v>
      </c>
      <c r="S92">
        <f t="shared" si="9"/>
        <v>36</v>
      </c>
      <c r="T92">
        <f t="shared" si="9"/>
        <v>35.650000000000006</v>
      </c>
      <c r="U92">
        <f t="shared" si="9"/>
        <v>35.1</v>
      </c>
      <c r="V92">
        <f t="shared" si="9"/>
        <v>35.1</v>
      </c>
      <c r="W92">
        <f t="shared" si="9"/>
        <v>35.200000000000003</v>
      </c>
      <c r="X92">
        <f t="shared" si="9"/>
        <v>35.25</v>
      </c>
      <c r="Y92">
        <f t="shared" si="9"/>
        <v>35.700000000000003</v>
      </c>
      <c r="Z92">
        <f t="shared" si="9"/>
        <v>35.799999999999997</v>
      </c>
    </row>
    <row r="93" spans="1:26" x14ac:dyDescent="0.2">
      <c r="A93" s="34" t="s">
        <v>10</v>
      </c>
      <c r="B93">
        <f>AVERAGE(B45:B46)</f>
        <v>35.6</v>
      </c>
      <c r="C93">
        <f t="shared" ref="C93:Z93" si="10">AVERAGE(C45:C46)</f>
        <v>35.6</v>
      </c>
      <c r="D93">
        <f t="shared" si="10"/>
        <v>35.450000000000003</v>
      </c>
      <c r="E93">
        <f t="shared" si="10"/>
        <v>35.549999999999997</v>
      </c>
      <c r="F93">
        <f t="shared" si="10"/>
        <v>35.700000000000003</v>
      </c>
      <c r="G93">
        <f t="shared" si="10"/>
        <v>35.549999999999997</v>
      </c>
      <c r="H93">
        <f t="shared" si="10"/>
        <v>35.549999999999997</v>
      </c>
      <c r="I93">
        <f t="shared" si="10"/>
        <v>35.549999999999997</v>
      </c>
      <c r="J93">
        <f t="shared" si="10"/>
        <v>35.5</v>
      </c>
      <c r="K93">
        <f t="shared" si="10"/>
        <v>35.6</v>
      </c>
      <c r="L93">
        <f t="shared" si="10"/>
        <v>35.6</v>
      </c>
      <c r="M93">
        <f t="shared" si="10"/>
        <v>35.6</v>
      </c>
      <c r="N93">
        <f t="shared" si="10"/>
        <v>35.700000000000003</v>
      </c>
      <c r="O93">
        <f t="shared" si="10"/>
        <v>35.799999999999997</v>
      </c>
      <c r="P93">
        <f t="shared" si="10"/>
        <v>36.25</v>
      </c>
      <c r="Q93">
        <f t="shared" si="10"/>
        <v>36.299999999999997</v>
      </c>
      <c r="R93">
        <f t="shared" si="10"/>
        <v>36.349999999999994</v>
      </c>
      <c r="S93">
        <f t="shared" si="10"/>
        <v>36.4</v>
      </c>
      <c r="T93">
        <f t="shared" si="10"/>
        <v>36.1</v>
      </c>
      <c r="U93">
        <f t="shared" si="10"/>
        <v>35.6</v>
      </c>
      <c r="V93">
        <f t="shared" si="10"/>
        <v>35.549999999999997</v>
      </c>
      <c r="W93">
        <f t="shared" si="10"/>
        <v>35.700000000000003</v>
      </c>
      <c r="X93">
        <f t="shared" si="10"/>
        <v>35.700000000000003</v>
      </c>
      <c r="Y93">
        <f t="shared" si="10"/>
        <v>36.200000000000003</v>
      </c>
      <c r="Z93">
        <f t="shared" si="10"/>
        <v>36.25</v>
      </c>
    </row>
    <row r="94" spans="1:26" x14ac:dyDescent="0.2">
      <c r="A94" s="34" t="s">
        <v>11</v>
      </c>
      <c r="B94">
        <f>AVERAGE(B47:B48)</f>
        <v>35.6</v>
      </c>
      <c r="C94">
        <f t="shared" ref="C94:Z94" si="11">AVERAGE(C47:C48)</f>
        <v>35.6</v>
      </c>
      <c r="D94">
        <f t="shared" si="11"/>
        <v>35.650000000000006</v>
      </c>
      <c r="E94">
        <f t="shared" si="11"/>
        <v>35.700000000000003</v>
      </c>
      <c r="F94">
        <f t="shared" si="11"/>
        <v>35.650000000000006</v>
      </c>
      <c r="G94">
        <f t="shared" si="11"/>
        <v>35.549999999999997</v>
      </c>
      <c r="H94">
        <f t="shared" si="11"/>
        <v>35.450000000000003</v>
      </c>
      <c r="I94">
        <f t="shared" si="11"/>
        <v>35.450000000000003</v>
      </c>
      <c r="J94">
        <f t="shared" si="11"/>
        <v>35.5</v>
      </c>
      <c r="K94">
        <f t="shared" si="11"/>
        <v>35.549999999999997</v>
      </c>
      <c r="L94">
        <f t="shared" si="11"/>
        <v>35.549999999999997</v>
      </c>
      <c r="M94">
        <f t="shared" si="11"/>
        <v>35.650000000000006</v>
      </c>
      <c r="N94">
        <f t="shared" si="11"/>
        <v>35.700000000000003</v>
      </c>
      <c r="O94">
        <f t="shared" si="11"/>
        <v>35.9</v>
      </c>
      <c r="P94">
        <f t="shared" si="11"/>
        <v>36.25</v>
      </c>
      <c r="Q94">
        <f t="shared" si="11"/>
        <v>36.4</v>
      </c>
      <c r="R94">
        <f t="shared" si="11"/>
        <v>36.450000000000003</v>
      </c>
      <c r="S94">
        <f t="shared" si="11"/>
        <v>36.450000000000003</v>
      </c>
      <c r="T94">
        <f t="shared" si="11"/>
        <v>36.25</v>
      </c>
      <c r="U94">
        <f t="shared" si="11"/>
        <v>35.75</v>
      </c>
      <c r="V94">
        <f t="shared" si="11"/>
        <v>35.65</v>
      </c>
      <c r="W94">
        <f t="shared" si="11"/>
        <v>35.650000000000006</v>
      </c>
      <c r="X94">
        <f t="shared" si="11"/>
        <v>35.549999999999997</v>
      </c>
      <c r="Y94">
        <f t="shared" si="11"/>
        <v>36.200000000000003</v>
      </c>
      <c r="Z94">
        <f t="shared" si="11"/>
        <v>36.25</v>
      </c>
    </row>
    <row r="95" spans="1:26" x14ac:dyDescent="0.2">
      <c r="A95" s="34" t="s">
        <v>12</v>
      </c>
      <c r="B95">
        <f>AVERAGE(B49:B50)</f>
        <v>35.6</v>
      </c>
      <c r="C95">
        <f t="shared" ref="C95:Z95" si="12">AVERAGE(C49:C50)</f>
        <v>35.6</v>
      </c>
      <c r="D95">
        <f t="shared" si="12"/>
        <v>35.650000000000006</v>
      </c>
      <c r="E95">
        <f t="shared" si="12"/>
        <v>35.700000000000003</v>
      </c>
      <c r="F95">
        <f t="shared" si="12"/>
        <v>35.6</v>
      </c>
      <c r="G95">
        <f t="shared" si="12"/>
        <v>35.700000000000003</v>
      </c>
      <c r="H95">
        <f t="shared" si="12"/>
        <v>35.549999999999997</v>
      </c>
      <c r="I95">
        <f t="shared" si="12"/>
        <v>35.5</v>
      </c>
      <c r="J95">
        <f t="shared" si="12"/>
        <v>35.549999999999997</v>
      </c>
      <c r="K95">
        <f t="shared" si="12"/>
        <v>35.6</v>
      </c>
      <c r="L95">
        <f t="shared" si="12"/>
        <v>35.6</v>
      </c>
      <c r="M95">
        <f t="shared" si="12"/>
        <v>35.650000000000006</v>
      </c>
      <c r="N95">
        <f t="shared" si="12"/>
        <v>35.700000000000003</v>
      </c>
      <c r="O95">
        <f t="shared" si="12"/>
        <v>35.75</v>
      </c>
      <c r="P95">
        <f t="shared" si="12"/>
        <v>36.299999999999997</v>
      </c>
      <c r="Q95">
        <f t="shared" si="12"/>
        <v>36.349999999999994</v>
      </c>
      <c r="R95">
        <f t="shared" si="12"/>
        <v>36.349999999999994</v>
      </c>
      <c r="S95">
        <f t="shared" si="12"/>
        <v>36.4</v>
      </c>
      <c r="T95">
        <f t="shared" si="12"/>
        <v>36.1</v>
      </c>
      <c r="U95">
        <f t="shared" si="12"/>
        <v>35.6</v>
      </c>
      <c r="V95">
        <f t="shared" si="12"/>
        <v>35.549999999999997</v>
      </c>
      <c r="W95">
        <f t="shared" si="12"/>
        <v>35.650000000000006</v>
      </c>
      <c r="X95">
        <f t="shared" si="12"/>
        <v>35.700000000000003</v>
      </c>
      <c r="Y95">
        <f t="shared" si="12"/>
        <v>36.200000000000003</v>
      </c>
      <c r="Z95">
        <f t="shared" si="12"/>
        <v>36.25</v>
      </c>
    </row>
    <row r="96" spans="1:26" x14ac:dyDescent="0.2">
      <c r="A96" s="34" t="s">
        <v>13</v>
      </c>
      <c r="B96">
        <f>AVERAGE(B51:B52)</f>
        <v>35.700000000000003</v>
      </c>
      <c r="C96">
        <f t="shared" ref="C96:Z96" si="13">AVERAGE(C51:C52)</f>
        <v>35.650000000000006</v>
      </c>
      <c r="D96">
        <f t="shared" si="13"/>
        <v>35.700000000000003</v>
      </c>
      <c r="E96">
        <f t="shared" si="13"/>
        <v>35.849999999999994</v>
      </c>
      <c r="F96">
        <f t="shared" si="13"/>
        <v>35.75</v>
      </c>
      <c r="G96">
        <f t="shared" si="13"/>
        <v>35.549999999999997</v>
      </c>
      <c r="H96">
        <f t="shared" si="13"/>
        <v>35.65</v>
      </c>
      <c r="I96">
        <f t="shared" si="13"/>
        <v>35.6</v>
      </c>
      <c r="J96">
        <f t="shared" si="13"/>
        <v>35.549999999999997</v>
      </c>
      <c r="K96">
        <f t="shared" si="13"/>
        <v>35.549999999999997</v>
      </c>
      <c r="L96">
        <f t="shared" si="13"/>
        <v>35.6</v>
      </c>
      <c r="M96">
        <f t="shared" si="13"/>
        <v>35.650000000000006</v>
      </c>
      <c r="N96">
        <f t="shared" si="13"/>
        <v>35.700000000000003</v>
      </c>
      <c r="O96">
        <f t="shared" si="13"/>
        <v>35.799999999999997</v>
      </c>
      <c r="P96">
        <f t="shared" si="13"/>
        <v>36.25</v>
      </c>
      <c r="Q96">
        <f t="shared" si="13"/>
        <v>36.299999999999997</v>
      </c>
      <c r="R96">
        <f t="shared" si="13"/>
        <v>36.299999999999997</v>
      </c>
      <c r="S96">
        <f t="shared" si="13"/>
        <v>36.349999999999994</v>
      </c>
      <c r="T96">
        <f t="shared" si="13"/>
        <v>36.1</v>
      </c>
      <c r="U96">
        <f t="shared" si="13"/>
        <v>35.650000000000006</v>
      </c>
      <c r="V96">
        <f t="shared" si="13"/>
        <v>35.5</v>
      </c>
      <c r="W96">
        <f t="shared" si="13"/>
        <v>35.650000000000006</v>
      </c>
      <c r="X96">
        <f t="shared" si="13"/>
        <v>35.549999999999997</v>
      </c>
      <c r="Y96">
        <f t="shared" si="13"/>
        <v>36.049999999999997</v>
      </c>
      <c r="Z96">
        <f t="shared" si="13"/>
        <v>36.200000000000003</v>
      </c>
    </row>
    <row r="108" spans="1:26" x14ac:dyDescent="0.2">
      <c r="A108" t="s">
        <v>92</v>
      </c>
      <c r="B108" s="35">
        <v>45477</v>
      </c>
      <c r="C108" s="35">
        <v>45478</v>
      </c>
      <c r="D108" s="35">
        <v>45479</v>
      </c>
      <c r="E108" s="35">
        <v>45480</v>
      </c>
      <c r="F108" s="35">
        <v>45481</v>
      </c>
      <c r="G108" s="35">
        <v>45482</v>
      </c>
      <c r="H108" s="35">
        <v>45483</v>
      </c>
      <c r="I108" s="35">
        <v>45484</v>
      </c>
      <c r="J108" s="35">
        <v>45485</v>
      </c>
      <c r="K108" s="35">
        <v>45486</v>
      </c>
      <c r="L108" s="35">
        <v>45487</v>
      </c>
      <c r="M108" s="35">
        <v>45488</v>
      </c>
      <c r="N108" s="35">
        <v>45489</v>
      </c>
      <c r="O108" s="35">
        <v>45490</v>
      </c>
      <c r="P108" s="35">
        <v>45491</v>
      </c>
      <c r="Q108" s="35">
        <v>45492</v>
      </c>
      <c r="R108" s="35">
        <v>45493</v>
      </c>
      <c r="S108" s="35">
        <v>45494</v>
      </c>
      <c r="T108" s="35">
        <v>45495</v>
      </c>
      <c r="U108" s="35">
        <v>45496</v>
      </c>
      <c r="V108" s="35">
        <v>45497</v>
      </c>
      <c r="W108" s="35">
        <v>45498</v>
      </c>
      <c r="X108" s="35">
        <v>45499</v>
      </c>
      <c r="Y108" s="35">
        <v>45500</v>
      </c>
      <c r="Z108" s="35">
        <v>45501</v>
      </c>
    </row>
    <row r="109" spans="1:26" x14ac:dyDescent="0.2">
      <c r="A109" t="s">
        <v>7</v>
      </c>
      <c r="B109">
        <f>AVERAGE(B56:B57)</f>
        <v>8.1149999999999984</v>
      </c>
      <c r="C109">
        <f t="shared" ref="C109:Z109" si="14">AVERAGE(C56:C57)</f>
        <v>8.1199999999999992</v>
      </c>
      <c r="D109">
        <f t="shared" si="14"/>
        <v>8.11</v>
      </c>
      <c r="E109">
        <f t="shared" si="14"/>
        <v>8.1550000000000011</v>
      </c>
      <c r="F109">
        <f t="shared" si="14"/>
        <v>8.19</v>
      </c>
      <c r="G109">
        <f t="shared" si="14"/>
        <v>8.1350000000000016</v>
      </c>
      <c r="H109">
        <f t="shared" si="14"/>
        <v>8.1349999999999998</v>
      </c>
      <c r="I109">
        <f t="shared" si="14"/>
        <v>8.1149999999999984</v>
      </c>
      <c r="J109">
        <f t="shared" si="14"/>
        <v>8.1</v>
      </c>
      <c r="K109">
        <f t="shared" si="14"/>
        <v>8.14</v>
      </c>
      <c r="L109">
        <f t="shared" si="14"/>
        <v>8.125</v>
      </c>
      <c r="M109">
        <f t="shared" si="14"/>
        <v>8.11</v>
      </c>
      <c r="N109">
        <f t="shared" si="14"/>
        <v>8.15</v>
      </c>
      <c r="O109">
        <f t="shared" si="14"/>
        <v>8.129999999999999</v>
      </c>
      <c r="P109">
        <f t="shared" si="14"/>
        <v>8.1750000000000007</v>
      </c>
      <c r="Q109">
        <f t="shared" si="14"/>
        <v>8.120000000000001</v>
      </c>
      <c r="R109">
        <f t="shared" si="14"/>
        <v>8.11</v>
      </c>
      <c r="S109">
        <f t="shared" si="14"/>
        <v>8.1</v>
      </c>
      <c r="T109">
        <f t="shared" si="14"/>
        <v>8.0749999999999993</v>
      </c>
      <c r="U109">
        <f t="shared" si="14"/>
        <v>8.09</v>
      </c>
      <c r="V109">
        <f t="shared" si="14"/>
        <v>8.1050000000000004</v>
      </c>
      <c r="W109">
        <f t="shared" si="14"/>
        <v>8.125</v>
      </c>
      <c r="X109">
        <f t="shared" si="14"/>
        <v>8.1449999999999996</v>
      </c>
      <c r="Y109">
        <f t="shared" si="14"/>
        <v>8.07</v>
      </c>
      <c r="Z109">
        <f t="shared" si="14"/>
        <v>8.0949999999999989</v>
      </c>
    </row>
    <row r="110" spans="1:26" x14ac:dyDescent="0.2">
      <c r="A110" t="s">
        <v>8</v>
      </c>
      <c r="B110">
        <f>AVERAGE(B58:B59)</f>
        <v>8.1300000000000008</v>
      </c>
      <c r="C110">
        <f t="shared" ref="C110:Z110" si="15">AVERAGE(C58:C59)</f>
        <v>8.1300000000000008</v>
      </c>
      <c r="D110">
        <f t="shared" si="15"/>
        <v>8.16</v>
      </c>
      <c r="E110">
        <f t="shared" si="15"/>
        <v>8.18</v>
      </c>
      <c r="F110">
        <f t="shared" si="15"/>
        <v>8.1999999999999993</v>
      </c>
      <c r="G110">
        <f t="shared" si="15"/>
        <v>8.1350000000000016</v>
      </c>
      <c r="H110">
        <f t="shared" si="15"/>
        <v>8.1350000000000016</v>
      </c>
      <c r="I110">
        <f t="shared" si="15"/>
        <v>8.129999999999999</v>
      </c>
      <c r="J110">
        <f t="shared" si="15"/>
        <v>8.1</v>
      </c>
      <c r="K110">
        <f t="shared" si="15"/>
        <v>8.14</v>
      </c>
      <c r="L110">
        <f t="shared" si="15"/>
        <v>8.125</v>
      </c>
      <c r="M110">
        <f t="shared" si="15"/>
        <v>8.11</v>
      </c>
      <c r="N110">
        <f t="shared" si="15"/>
        <v>8.1300000000000008</v>
      </c>
      <c r="O110">
        <f t="shared" si="15"/>
        <v>8.1149999999999984</v>
      </c>
      <c r="P110">
        <f t="shared" si="15"/>
        <v>8.15</v>
      </c>
      <c r="Q110">
        <f t="shared" si="15"/>
        <v>8.11</v>
      </c>
      <c r="R110">
        <f t="shared" si="15"/>
        <v>8.1300000000000008</v>
      </c>
      <c r="S110">
        <f t="shared" si="15"/>
        <v>8.11</v>
      </c>
      <c r="T110">
        <f t="shared" si="15"/>
        <v>8.1</v>
      </c>
      <c r="U110">
        <f t="shared" si="15"/>
        <v>8.120000000000001</v>
      </c>
      <c r="V110">
        <f t="shared" si="15"/>
        <v>8.1199999999999992</v>
      </c>
      <c r="W110">
        <f t="shared" si="15"/>
        <v>8.125</v>
      </c>
      <c r="X110">
        <f t="shared" si="15"/>
        <v>8.1750000000000007</v>
      </c>
      <c r="Y110">
        <f t="shared" si="15"/>
        <v>8.11</v>
      </c>
      <c r="Z110">
        <f t="shared" si="15"/>
        <v>8.1550000000000011</v>
      </c>
    </row>
    <row r="111" spans="1:26" x14ac:dyDescent="0.2">
      <c r="A111" t="s">
        <v>9</v>
      </c>
      <c r="B111">
        <f>AVERAGE(B60:B61)</f>
        <v>8.1300000000000008</v>
      </c>
      <c r="C111">
        <f t="shared" ref="C111:Z111" si="16">AVERAGE(C60:C61)</f>
        <v>8.125</v>
      </c>
      <c r="D111">
        <f t="shared" si="16"/>
        <v>8.16</v>
      </c>
      <c r="E111">
        <f t="shared" si="16"/>
        <v>8.17</v>
      </c>
      <c r="F111">
        <f t="shared" si="16"/>
        <v>8.19</v>
      </c>
      <c r="G111">
        <f t="shared" si="16"/>
        <v>8.1449999999999996</v>
      </c>
      <c r="H111">
        <f t="shared" si="16"/>
        <v>8.129999999999999</v>
      </c>
      <c r="I111">
        <f t="shared" si="16"/>
        <v>8.125</v>
      </c>
      <c r="J111">
        <f t="shared" si="16"/>
        <v>8.11</v>
      </c>
      <c r="K111">
        <f t="shared" si="16"/>
        <v>8.14</v>
      </c>
      <c r="L111">
        <f t="shared" si="16"/>
        <v>8.125</v>
      </c>
      <c r="M111">
        <f t="shared" si="16"/>
        <v>8.1149999999999984</v>
      </c>
      <c r="N111">
        <f t="shared" si="16"/>
        <v>8.129999999999999</v>
      </c>
      <c r="O111">
        <f t="shared" si="16"/>
        <v>8.1150000000000002</v>
      </c>
      <c r="P111">
        <f t="shared" si="16"/>
        <v>8.14</v>
      </c>
      <c r="Q111">
        <f t="shared" si="16"/>
        <v>8.1</v>
      </c>
      <c r="R111">
        <f t="shared" si="16"/>
        <v>8.11</v>
      </c>
      <c r="S111">
        <f t="shared" si="16"/>
        <v>8.0949999999999989</v>
      </c>
      <c r="T111">
        <f t="shared" si="16"/>
        <v>8.0850000000000009</v>
      </c>
      <c r="U111">
        <f t="shared" si="16"/>
        <v>8.1</v>
      </c>
      <c r="V111">
        <f t="shared" si="16"/>
        <v>8.0949999999999989</v>
      </c>
      <c r="W111">
        <f t="shared" si="16"/>
        <v>8.1199999999999992</v>
      </c>
      <c r="X111">
        <f t="shared" si="16"/>
        <v>8.1350000000000016</v>
      </c>
      <c r="Y111">
        <f t="shared" si="16"/>
        <v>8.0749999999999993</v>
      </c>
      <c r="Z111">
        <f t="shared" si="16"/>
        <v>8.1050000000000004</v>
      </c>
    </row>
    <row r="112" spans="1:26" x14ac:dyDescent="0.2">
      <c r="A112" t="s">
        <v>10</v>
      </c>
      <c r="B112">
        <f>AVERAGE(B62:B63)</f>
        <v>8.11</v>
      </c>
      <c r="C112">
        <f t="shared" ref="C112:Z112" si="17">AVERAGE(C62:C63)</f>
        <v>8.125</v>
      </c>
      <c r="D112">
        <f t="shared" si="17"/>
        <v>8.15</v>
      </c>
      <c r="E112">
        <f t="shared" si="17"/>
        <v>8.1649999999999991</v>
      </c>
      <c r="F112">
        <f t="shared" si="17"/>
        <v>8.2149999999999999</v>
      </c>
      <c r="G112">
        <f t="shared" si="17"/>
        <v>8.14</v>
      </c>
      <c r="H112">
        <f t="shared" si="17"/>
        <v>8.1449999999999996</v>
      </c>
      <c r="I112">
        <f t="shared" si="17"/>
        <v>8.1350000000000016</v>
      </c>
      <c r="J112">
        <f t="shared" si="17"/>
        <v>8.1199999999999992</v>
      </c>
      <c r="K112">
        <f t="shared" si="17"/>
        <v>8.15</v>
      </c>
      <c r="L112">
        <f t="shared" si="17"/>
        <v>8.125</v>
      </c>
      <c r="M112">
        <f t="shared" si="17"/>
        <v>8.1149999999999984</v>
      </c>
      <c r="N112">
        <f t="shared" si="17"/>
        <v>8.120000000000001</v>
      </c>
      <c r="O112">
        <f t="shared" si="17"/>
        <v>8.1149999999999984</v>
      </c>
      <c r="P112">
        <f t="shared" si="17"/>
        <v>8.1350000000000016</v>
      </c>
      <c r="Q112">
        <f t="shared" si="17"/>
        <v>8.1050000000000004</v>
      </c>
      <c r="R112">
        <f t="shared" si="17"/>
        <v>8.11</v>
      </c>
      <c r="S112">
        <f t="shared" si="17"/>
        <v>8.1</v>
      </c>
      <c r="T112">
        <f t="shared" si="17"/>
        <v>8.1</v>
      </c>
      <c r="U112">
        <f t="shared" si="17"/>
        <v>8.1050000000000004</v>
      </c>
      <c r="V112">
        <f t="shared" si="17"/>
        <v>8.11</v>
      </c>
      <c r="W112">
        <f t="shared" si="17"/>
        <v>8.125</v>
      </c>
      <c r="X112">
        <f t="shared" si="17"/>
        <v>8.16</v>
      </c>
      <c r="Y112">
        <f t="shared" si="17"/>
        <v>8.0949999999999989</v>
      </c>
      <c r="Z112">
        <f t="shared" si="17"/>
        <v>8.14</v>
      </c>
    </row>
    <row r="113" spans="1:26" x14ac:dyDescent="0.2">
      <c r="A113" t="s">
        <v>11</v>
      </c>
      <c r="B113">
        <f>AVERAGE(B64:B65)</f>
        <v>8.1199999999999992</v>
      </c>
      <c r="C113">
        <f t="shared" ref="C113:Z113" si="18">AVERAGE(C64:C65)</f>
        <v>8.125</v>
      </c>
      <c r="D113">
        <f t="shared" si="18"/>
        <v>8.15</v>
      </c>
      <c r="E113">
        <f t="shared" si="18"/>
        <v>8.1750000000000007</v>
      </c>
      <c r="F113">
        <f t="shared" si="18"/>
        <v>8.2050000000000001</v>
      </c>
      <c r="G113">
        <f t="shared" si="18"/>
        <v>8.1350000000000016</v>
      </c>
      <c r="H113">
        <f t="shared" si="18"/>
        <v>8.14</v>
      </c>
      <c r="I113">
        <f t="shared" si="18"/>
        <v>8.1300000000000008</v>
      </c>
      <c r="J113">
        <f t="shared" si="18"/>
        <v>8.1</v>
      </c>
      <c r="K113">
        <f t="shared" si="18"/>
        <v>8.14</v>
      </c>
      <c r="L113">
        <f t="shared" si="18"/>
        <v>8.125</v>
      </c>
      <c r="M113">
        <f t="shared" si="18"/>
        <v>8.11</v>
      </c>
      <c r="N113">
        <f t="shared" si="18"/>
        <v>8.120000000000001</v>
      </c>
      <c r="O113">
        <f t="shared" si="18"/>
        <v>8.1149999999999984</v>
      </c>
      <c r="P113">
        <f t="shared" si="18"/>
        <v>8.125</v>
      </c>
      <c r="Q113">
        <f t="shared" si="18"/>
        <v>8.0949999999999989</v>
      </c>
      <c r="R113">
        <f t="shared" si="18"/>
        <v>8.1050000000000004</v>
      </c>
      <c r="S113">
        <f t="shared" si="18"/>
        <v>8.09</v>
      </c>
      <c r="T113">
        <f t="shared" si="18"/>
        <v>8.09</v>
      </c>
      <c r="U113">
        <f t="shared" si="18"/>
        <v>8.0949999999999989</v>
      </c>
      <c r="V113">
        <f t="shared" si="18"/>
        <v>8.09</v>
      </c>
      <c r="W113">
        <f t="shared" si="18"/>
        <v>8.1300000000000008</v>
      </c>
      <c r="X113">
        <f t="shared" si="18"/>
        <v>8.1350000000000016</v>
      </c>
      <c r="Y113">
        <f t="shared" si="18"/>
        <v>8.08</v>
      </c>
      <c r="Z113">
        <f t="shared" si="18"/>
        <v>8.1149999999999984</v>
      </c>
    </row>
    <row r="114" spans="1:26" x14ac:dyDescent="0.2">
      <c r="A114" t="s">
        <v>12</v>
      </c>
      <c r="B114">
        <f>AVERAGE(B66:B67)</f>
        <v>8.11</v>
      </c>
      <c r="C114">
        <f t="shared" ref="C114:Z114" si="19">AVERAGE(C66:C67)</f>
        <v>8.1199999999999992</v>
      </c>
      <c r="D114">
        <f t="shared" si="19"/>
        <v>8.16</v>
      </c>
      <c r="E114">
        <f t="shared" si="19"/>
        <v>8.17</v>
      </c>
      <c r="F114">
        <f t="shared" si="19"/>
        <v>8.2050000000000001</v>
      </c>
      <c r="G114">
        <f t="shared" si="19"/>
        <v>8.125</v>
      </c>
      <c r="H114">
        <f t="shared" si="19"/>
        <v>8.14</v>
      </c>
      <c r="I114">
        <f t="shared" si="19"/>
        <v>8.1300000000000008</v>
      </c>
      <c r="J114">
        <f t="shared" si="19"/>
        <v>8.125</v>
      </c>
      <c r="K114">
        <f t="shared" si="19"/>
        <v>8.14</v>
      </c>
      <c r="L114">
        <f t="shared" si="19"/>
        <v>8.125</v>
      </c>
      <c r="M114">
        <f t="shared" si="19"/>
        <v>8.1050000000000004</v>
      </c>
      <c r="N114">
        <f t="shared" si="19"/>
        <v>8.1149999999999984</v>
      </c>
      <c r="O114">
        <f t="shared" si="19"/>
        <v>8.1149999999999984</v>
      </c>
      <c r="P114">
        <f t="shared" si="19"/>
        <v>8.125</v>
      </c>
      <c r="Q114">
        <f t="shared" si="19"/>
        <v>8.09</v>
      </c>
      <c r="R114">
        <f t="shared" si="19"/>
        <v>8.0949999999999989</v>
      </c>
      <c r="S114">
        <f t="shared" si="19"/>
        <v>8.09</v>
      </c>
      <c r="T114">
        <f t="shared" si="19"/>
        <v>8.08</v>
      </c>
      <c r="U114">
        <f t="shared" si="19"/>
        <v>8.09</v>
      </c>
      <c r="V114">
        <f t="shared" si="19"/>
        <v>8.0850000000000009</v>
      </c>
      <c r="W114">
        <f t="shared" si="19"/>
        <v>8.125</v>
      </c>
      <c r="X114">
        <f t="shared" si="19"/>
        <v>8.1449999999999996</v>
      </c>
      <c r="Y114">
        <f t="shared" si="19"/>
        <v>8.0949999999999989</v>
      </c>
      <c r="Z114">
        <f t="shared" si="19"/>
        <v>8.14</v>
      </c>
    </row>
    <row r="115" spans="1:26" x14ac:dyDescent="0.2">
      <c r="A115" t="s">
        <v>13</v>
      </c>
      <c r="B115">
        <f>AVERAGE(B68:B69)</f>
        <v>8.11</v>
      </c>
      <c r="C115">
        <f t="shared" ref="C115:Z115" si="20">AVERAGE(C68:C69)</f>
        <v>8.1350000000000016</v>
      </c>
      <c r="D115">
        <f t="shared" si="20"/>
        <v>8.17</v>
      </c>
      <c r="E115">
        <f t="shared" si="20"/>
        <v>8.1750000000000007</v>
      </c>
      <c r="F115">
        <f t="shared" si="20"/>
        <v>8.1950000000000003</v>
      </c>
      <c r="G115">
        <f t="shared" si="20"/>
        <v>8.1350000000000016</v>
      </c>
      <c r="H115">
        <f t="shared" si="20"/>
        <v>8.129999999999999</v>
      </c>
      <c r="I115">
        <f t="shared" si="20"/>
        <v>8.1149999999999984</v>
      </c>
      <c r="J115">
        <f t="shared" si="20"/>
        <v>8.1199999999999992</v>
      </c>
      <c r="K115">
        <f t="shared" si="20"/>
        <v>8.15</v>
      </c>
      <c r="L115">
        <f t="shared" si="20"/>
        <v>8.1350000000000016</v>
      </c>
      <c r="M115">
        <f t="shared" si="20"/>
        <v>8.1149999999999984</v>
      </c>
      <c r="N115">
        <f t="shared" si="20"/>
        <v>8.1199999999999992</v>
      </c>
      <c r="O115">
        <f t="shared" si="20"/>
        <v>8.1199999999999992</v>
      </c>
      <c r="P115">
        <f t="shared" si="20"/>
        <v>8.14</v>
      </c>
      <c r="Q115">
        <f t="shared" si="20"/>
        <v>8.1</v>
      </c>
      <c r="R115">
        <f t="shared" si="20"/>
        <v>8.1050000000000004</v>
      </c>
      <c r="S115">
        <f t="shared" si="20"/>
        <v>8.09</v>
      </c>
      <c r="T115">
        <f t="shared" si="20"/>
        <v>8.0850000000000009</v>
      </c>
      <c r="U115">
        <f t="shared" si="20"/>
        <v>8.11</v>
      </c>
      <c r="V115">
        <f t="shared" si="20"/>
        <v>8.09</v>
      </c>
      <c r="W115">
        <f t="shared" si="20"/>
        <v>8.1350000000000016</v>
      </c>
      <c r="X115">
        <f t="shared" si="20"/>
        <v>8.1449999999999996</v>
      </c>
      <c r="Y115">
        <f t="shared" si="20"/>
        <v>8.11</v>
      </c>
      <c r="Z115">
        <f t="shared" si="20"/>
        <v>8.1449999999999996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cell counts</vt:lpstr>
      <vt:lpstr>P and R </vt:lpstr>
      <vt:lpstr>Fv Fm</vt:lpstr>
      <vt:lpstr>Sheet1</vt:lpstr>
      <vt:lpstr>Fv Fm over time</vt:lpstr>
      <vt:lpstr>ICP</vt:lpstr>
      <vt:lpstr>Water 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hadley england</dc:creator>
  <cp:lastModifiedBy>hadley england</cp:lastModifiedBy>
  <dcterms:created xsi:type="dcterms:W3CDTF">2025-03-25T21:45:31Z</dcterms:created>
  <dcterms:modified xsi:type="dcterms:W3CDTF">2025-09-30T01:29:39Z</dcterms:modified>
</cp:coreProperties>
</file>